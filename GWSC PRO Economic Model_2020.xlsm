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onocophillips-my.sharepoint.com/personal/joel_e_miniermatar_conocophillips_com/Documents/PRO/"/>
    </mc:Choice>
  </mc:AlternateContent>
  <xr:revisionPtr revIDLastSave="0" documentId="8_{0401FF9D-F8D4-4CE0-8050-A81E98E6FF7E}" xr6:coauthVersionLast="45" xr6:coauthVersionMax="45" xr10:uidLastSave="{00000000-0000-0000-0000-000000000000}"/>
  <bookViews>
    <workbookView xWindow="-120" yWindow="-120" windowWidth="29040" windowHeight="15840" tabRatio="894" xr2:uid="{0C86C756-38BC-49D3-B2BB-AA9E7EA6F994}"/>
  </bookViews>
  <sheets>
    <sheet name="Guidelines" sheetId="143" r:id="rId1"/>
    <sheet name="GWSC PRO Economic Model" sheetId="136" r:id="rId2"/>
  </sheets>
  <functionGroups builtInGroupCount="19"/>
  <definedNames>
    <definedName name="_xlnm.Print_Area" localSheetId="1">'GWSC PRO Economic Model'!#REF!</definedName>
    <definedName name="solver_adj" localSheetId="1" hidden="1">'GWSC PRO Economic Model'!#REF!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'GWSC PRO Economic Model'!#REF!</definedName>
    <definedName name="solver_pre" localSheetId="1" hidden="1">0.000001</definedName>
    <definedName name="solver_rbv" localSheetId="1" hidden="1">2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7" i="136" l="1"/>
  <c r="H97" i="136" s="1"/>
  <c r="H85" i="136"/>
  <c r="H153" i="136"/>
  <c r="H144" i="136"/>
  <c r="H140" i="136"/>
  <c r="H141" i="136" s="1"/>
  <c r="H55" i="136" s="1"/>
  <c r="H139" i="136"/>
  <c r="H137" i="136"/>
  <c r="H134" i="136"/>
  <c r="H132" i="136"/>
  <c r="H131" i="136"/>
  <c r="H130" i="136"/>
  <c r="H51" i="136" s="1"/>
  <c r="H117" i="136"/>
  <c r="H102" i="136"/>
  <c r="H74" i="136" s="1"/>
  <c r="H99" i="136"/>
  <c r="H92" i="136"/>
  <c r="H88" i="136"/>
  <c r="H84" i="136"/>
  <c r="H82" i="136"/>
  <c r="H76" i="136"/>
  <c r="H152" i="136" s="1"/>
  <c r="H154" i="136" s="1"/>
  <c r="H75" i="136"/>
  <c r="H70" i="136"/>
  <c r="G167" i="136"/>
  <c r="G161" i="136"/>
  <c r="G160" i="136"/>
  <c r="G159" i="136"/>
  <c r="G162" i="136" s="1"/>
  <c r="G158" i="136"/>
  <c r="G155" i="136"/>
  <c r="G153" i="136"/>
  <c r="G152" i="136"/>
  <c r="G151" i="136"/>
  <c r="G137" i="136"/>
  <c r="G134" i="136"/>
  <c r="G132" i="136"/>
  <c r="G117" i="136"/>
  <c r="G102" i="136"/>
  <c r="G91" i="136" s="1"/>
  <c r="G40" i="136" s="1"/>
  <c r="G99" i="136"/>
  <c r="G92" i="136"/>
  <c r="G88" i="136"/>
  <c r="G87" i="136"/>
  <c r="G97" i="136" s="1"/>
  <c r="G85" i="136"/>
  <c r="G84" i="136"/>
  <c r="G82" i="136"/>
  <c r="G94" i="136" s="1"/>
  <c r="G41" i="136" s="1"/>
  <c r="G76" i="136"/>
  <c r="G131" i="136" s="1"/>
  <c r="G133" i="136" s="1"/>
  <c r="G135" i="136" s="1"/>
  <c r="G75" i="136"/>
  <c r="G70" i="136"/>
  <c r="G83" i="136"/>
  <c r="G73" i="136"/>
  <c r="G93" i="136"/>
  <c r="H83" i="136"/>
  <c r="H73" i="136"/>
  <c r="H94" i="136" l="1"/>
  <c r="G154" i="136"/>
  <c r="G116" i="136"/>
  <c r="G86" i="136"/>
  <c r="G74" i="136"/>
  <c r="G109" i="136" s="1"/>
  <c r="H127" i="136"/>
  <c r="H37" i="136"/>
  <c r="H42" i="136" s="1"/>
  <c r="H77" i="136"/>
  <c r="H38" i="136" s="1"/>
  <c r="H115" i="136"/>
  <c r="H43" i="136"/>
  <c r="H176" i="136" s="1"/>
  <c r="H177" i="136" s="1"/>
  <c r="H178" i="136" s="1"/>
  <c r="H179" i="136" s="1"/>
  <c r="H65" i="136" s="1"/>
  <c r="H54" i="136"/>
  <c r="H86" i="136"/>
  <c r="H89" i="136" s="1"/>
  <c r="G127" i="136"/>
  <c r="G156" i="136"/>
  <c r="H116" i="136"/>
  <c r="G163" i="136"/>
  <c r="H133" i="136"/>
  <c r="H135" i="136" s="1"/>
  <c r="H122" i="136"/>
  <c r="H114" i="136"/>
  <c r="H182" i="136" s="1"/>
  <c r="H53" i="136"/>
  <c r="H125" i="136"/>
  <c r="H91" i="136"/>
  <c r="H40" i="136" s="1"/>
  <c r="H109" i="136"/>
  <c r="G164" i="136"/>
  <c r="G114" i="136"/>
  <c r="G182" i="136" s="1"/>
  <c r="G165" i="136"/>
  <c r="G122" i="136"/>
  <c r="G43" i="136"/>
  <c r="G176" i="136" s="1"/>
  <c r="G177" i="136" s="1"/>
  <c r="G178" i="136" s="1"/>
  <c r="G179" i="136" s="1"/>
  <c r="G89" i="136"/>
  <c r="G90" i="136" s="1"/>
  <c r="G37" i="136"/>
  <c r="G42" i="136" s="1"/>
  <c r="H93" i="136"/>
  <c r="G115" i="136" l="1"/>
  <c r="G77" i="136"/>
  <c r="G38" i="136" s="1"/>
  <c r="G125" i="136"/>
  <c r="H151" i="136"/>
  <c r="H159" i="136" s="1"/>
  <c r="H161" i="136" s="1"/>
  <c r="H41" i="136"/>
  <c r="H90" i="136"/>
  <c r="G78" i="136"/>
  <c r="G71" i="136" s="1"/>
  <c r="G72" i="136" s="1"/>
  <c r="H78" i="136"/>
  <c r="G130" i="136"/>
  <c r="G51" i="136" s="1"/>
  <c r="G166" i="136"/>
  <c r="G168" i="136" s="1"/>
  <c r="G170" i="136" s="1"/>
  <c r="H163" i="136"/>
  <c r="H162" i="136"/>
  <c r="H165" i="136"/>
  <c r="H181" i="136"/>
  <c r="H47" i="136"/>
  <c r="H183" i="136"/>
  <c r="G183" i="136"/>
  <c r="G47" i="136"/>
  <c r="G181" i="136"/>
  <c r="G65" i="136"/>
  <c r="H79" i="136"/>
  <c r="G79" i="136"/>
  <c r="G105" i="136" l="1"/>
  <c r="G39" i="136"/>
  <c r="H160" i="136"/>
  <c r="H118" i="136"/>
  <c r="H119" i="136" s="1"/>
  <c r="H120" i="136" s="1"/>
  <c r="H121" i="136" s="1"/>
  <c r="H123" i="136" s="1"/>
  <c r="H126" i="136" s="1"/>
  <c r="H167" i="136" s="1"/>
  <c r="H155" i="136"/>
  <c r="H156" i="136" s="1"/>
  <c r="H158" i="136" s="1"/>
  <c r="H164" i="136" s="1"/>
  <c r="H166" i="136" s="1"/>
  <c r="H136" i="136"/>
  <c r="H138" i="136" s="1"/>
  <c r="G118" i="136"/>
  <c r="G119" i="136" s="1"/>
  <c r="G120" i="136" s="1"/>
  <c r="G121" i="136" s="1"/>
  <c r="G123" i="136" s="1"/>
  <c r="G126" i="136" s="1"/>
  <c r="G139" i="136" s="1"/>
  <c r="G136" i="136"/>
  <c r="G138" i="136" s="1"/>
  <c r="G143" i="136" s="1"/>
  <c r="H39" i="136"/>
  <c r="H105" i="136"/>
  <c r="H71" i="136"/>
  <c r="H72" i="136" s="1"/>
  <c r="H184" i="136"/>
  <c r="H186" i="136" s="1"/>
  <c r="G184" i="136"/>
  <c r="G185" i="136" s="1"/>
  <c r="G171" i="136"/>
  <c r="G60" i="136" s="1"/>
  <c r="G59" i="136"/>
  <c r="G62" i="136" s="1"/>
  <c r="G80" i="136"/>
  <c r="G96" i="136"/>
  <c r="G98" i="136" s="1"/>
  <c r="G100" i="136" s="1"/>
  <c r="G101" i="136" s="1"/>
  <c r="G186" i="136" l="1"/>
  <c r="H46" i="136"/>
  <c r="H124" i="136"/>
  <c r="G124" i="136"/>
  <c r="G46" i="136"/>
  <c r="H185" i="136"/>
  <c r="G52" i="136"/>
  <c r="H96" i="136"/>
  <c r="H98" i="136" s="1"/>
  <c r="H100" i="136" s="1"/>
  <c r="H80" i="136"/>
  <c r="H52" i="136"/>
  <c r="H143" i="136"/>
  <c r="G172" i="136"/>
  <c r="G61" i="136" s="1"/>
  <c r="G140" i="136"/>
  <c r="G53" i="136"/>
  <c r="H168" i="136"/>
  <c r="H128" i="136"/>
  <c r="H48" i="136"/>
  <c r="H49" i="136" s="1"/>
  <c r="H180" i="136"/>
  <c r="H66" i="136"/>
  <c r="H188" i="136"/>
  <c r="G48" i="136"/>
  <c r="G49" i="136" s="1"/>
  <c r="G128" i="136"/>
  <c r="G144" i="136" s="1"/>
  <c r="G66" i="136"/>
  <c r="G188" i="136"/>
  <c r="G44" i="136"/>
  <c r="G145" i="136"/>
  <c r="G56" i="136" s="1"/>
  <c r="H145" i="136" l="1"/>
  <c r="H56" i="136" s="1"/>
  <c r="H44" i="136"/>
  <c r="H101" i="136"/>
  <c r="G54" i="136"/>
  <c r="G141" i="136"/>
  <c r="G55" i="136" s="1"/>
  <c r="H171" i="136"/>
  <c r="H170" i="136"/>
  <c r="H59" i="136"/>
  <c r="H62" i="136" s="1"/>
  <c r="H189" i="136"/>
  <c r="H68" i="136" s="1"/>
  <c r="H67" i="136"/>
  <c r="H187" i="136"/>
  <c r="G45" i="136"/>
  <c r="G146" i="136"/>
  <c r="G147" i="136" s="1"/>
  <c r="G148" i="136" s="1"/>
  <c r="G149" i="136" s="1"/>
  <c r="G57" i="136" s="1"/>
  <c r="G104" i="136"/>
  <c r="G189" i="136"/>
  <c r="G68" i="136" s="1"/>
  <c r="G67" i="136"/>
  <c r="H45" i="136" l="1"/>
  <c r="H104" i="136"/>
  <c r="H146" i="136"/>
  <c r="H147" i="136" s="1"/>
  <c r="H148" i="136" s="1"/>
  <c r="H149" i="136" s="1"/>
  <c r="H57" i="136" s="1"/>
  <c r="H142" i="136"/>
  <c r="G142" i="136"/>
  <c r="H60" i="136"/>
  <c r="H172" i="136"/>
  <c r="G106" i="136"/>
  <c r="G169" i="136"/>
  <c r="G180" i="136"/>
  <c r="G173" i="136"/>
  <c r="G174" i="136" s="1"/>
  <c r="G63" i="136" s="1"/>
  <c r="G187" i="136"/>
  <c r="H106" i="136" l="1"/>
  <c r="H169" i="136"/>
  <c r="H61" i="136"/>
  <c r="H173" i="136"/>
  <c r="G111" i="136"/>
  <c r="G112" i="136" s="1"/>
  <c r="G107" i="136"/>
  <c r="G108" i="136" s="1"/>
  <c r="G110" i="136"/>
  <c r="H110" i="136" l="1"/>
  <c r="H107" i="136"/>
  <c r="H108" i="136" s="1"/>
  <c r="H111" i="136"/>
  <c r="H112" i="136" s="1"/>
  <c r="H174" i="136"/>
  <c r="H63" i="136" s="1"/>
  <c r="E120" i="136" l="1"/>
  <c r="E121" i="136"/>
  <c r="E167" i="136" l="1"/>
  <c r="E161" i="136"/>
  <c r="E160" i="136"/>
  <c r="E159" i="136"/>
  <c r="E162" i="136" s="1"/>
  <c r="E158" i="136"/>
  <c r="E155" i="136"/>
  <c r="E153" i="136"/>
  <c r="E152" i="136"/>
  <c r="E151" i="136"/>
  <c r="E137" i="136"/>
  <c r="E134" i="136"/>
  <c r="E132" i="136"/>
  <c r="E117" i="136"/>
  <c r="E102" i="136"/>
  <c r="E99" i="136"/>
  <c r="E92" i="136"/>
  <c r="E88" i="136"/>
  <c r="E87" i="136"/>
  <c r="E97" i="136" s="1"/>
  <c r="E85" i="136"/>
  <c r="E84" i="136"/>
  <c r="E82" i="136"/>
  <c r="E76" i="136"/>
  <c r="E131" i="136" s="1"/>
  <c r="E75" i="136"/>
  <c r="E70" i="136"/>
  <c r="E83" i="136"/>
  <c r="E73" i="136"/>
  <c r="E43" i="136" l="1"/>
  <c r="E176" i="136" s="1"/>
  <c r="E177" i="136" s="1"/>
  <c r="E178" i="136" s="1"/>
  <c r="E179" i="136" s="1"/>
  <c r="E65" i="136" s="1"/>
  <c r="E94" i="136"/>
  <c r="E154" i="136"/>
  <c r="E156" i="136" s="1"/>
  <c r="E74" i="136"/>
  <c r="E109" i="136" s="1"/>
  <c r="E133" i="136"/>
  <c r="E135" i="136" s="1"/>
  <c r="E91" i="136"/>
  <c r="E40" i="136" s="1"/>
  <c r="E114" i="136"/>
  <c r="E182" i="136" s="1"/>
  <c r="E164" i="136"/>
  <c r="E116" i="136"/>
  <c r="E163" i="136"/>
  <c r="E165" i="136"/>
  <c r="E86" i="136"/>
  <c r="E93" i="136"/>
  <c r="E41" i="136" l="1"/>
  <c r="E125" i="136"/>
  <c r="E115" i="136"/>
  <c r="E122" i="136"/>
  <c r="E77" i="136"/>
  <c r="E78" i="136" s="1"/>
  <c r="E71" i="136" s="1"/>
  <c r="E72" i="136" s="1"/>
  <c r="E127" i="136"/>
  <c r="E37" i="136"/>
  <c r="E42" i="136" s="1"/>
  <c r="E89" i="136"/>
  <c r="E90" i="136" s="1"/>
  <c r="E166" i="136"/>
  <c r="E168" i="136" s="1"/>
  <c r="E79" i="136"/>
  <c r="E123" i="136" l="1"/>
  <c r="E183" i="136"/>
  <c r="E47" i="136"/>
  <c r="E181" i="136"/>
  <c r="E118" i="136"/>
  <c r="E119" i="136" s="1"/>
  <c r="E38" i="136"/>
  <c r="E130" i="136"/>
  <c r="E51" i="136" s="1"/>
  <c r="E105" i="136"/>
  <c r="E39" i="136"/>
  <c r="E96" i="136"/>
  <c r="E98" i="136" s="1"/>
  <c r="E100" i="136" s="1"/>
  <c r="E80" i="136"/>
  <c r="E170" i="136"/>
  <c r="E171" i="136"/>
  <c r="E59" i="136"/>
  <c r="E62" i="136" s="1"/>
  <c r="E126" i="136" l="1"/>
  <c r="E128" i="136" s="1"/>
  <c r="E184" i="136"/>
  <c r="E136" i="136"/>
  <c r="E138" i="136" s="1"/>
  <c r="E143" i="136" s="1"/>
  <c r="E124" i="136"/>
  <c r="E46" i="136"/>
  <c r="E172" i="136"/>
  <c r="E60" i="136"/>
  <c r="E139" i="136"/>
  <c r="E145" i="136"/>
  <c r="E56" i="136" s="1"/>
  <c r="E44" i="136"/>
  <c r="E101" i="136"/>
  <c r="E48" i="136"/>
  <c r="E49" i="136" l="1"/>
  <c r="E186" i="136"/>
  <c r="E185" i="136"/>
  <c r="E52" i="136"/>
  <c r="E144" i="136"/>
  <c r="E146" i="136"/>
  <c r="E147" i="136" s="1"/>
  <c r="E148" i="136" s="1"/>
  <c r="E149" i="136" s="1"/>
  <c r="E57" i="136" s="1"/>
  <c r="E140" i="136"/>
  <c r="E53" i="136"/>
  <c r="E104" i="136"/>
  <c r="E45" i="136"/>
  <c r="E61" i="136"/>
  <c r="E187" i="136" l="1"/>
  <c r="E66" i="136"/>
  <c r="E188" i="136"/>
  <c r="E173" i="136"/>
  <c r="E174" i="136" s="1"/>
  <c r="E63" i="136" s="1"/>
  <c r="E180" i="136"/>
  <c r="E141" i="136"/>
  <c r="E54" i="136"/>
  <c r="E106" i="136"/>
  <c r="E169" i="136"/>
  <c r="E189" i="136" l="1"/>
  <c r="E68" i="136" s="1"/>
  <c r="E67" i="136"/>
  <c r="E142" i="136"/>
  <c r="E55" i="136"/>
  <c r="E110" i="136"/>
  <c r="E111" i="136"/>
  <c r="E112" i="136" s="1"/>
  <c r="E107" i="136"/>
  <c r="E108" i="136" s="1"/>
</calcChain>
</file>

<file path=xl/sharedStrings.xml><?xml version="1.0" encoding="utf-8"?>
<sst xmlns="http://schemas.openxmlformats.org/spreadsheetml/2006/main" count="376" uniqueCount="228">
  <si>
    <t>g/L</t>
  </si>
  <si>
    <t>kg/L</t>
  </si>
  <si>
    <t>bar</t>
  </si>
  <si>
    <t xml:space="preserve">bar </t>
  </si>
  <si>
    <t>Membrane area</t>
  </si>
  <si>
    <t>kg/s</t>
  </si>
  <si>
    <t>Net membrane driving force</t>
  </si>
  <si>
    <t>Permeate flow</t>
  </si>
  <si>
    <t>PX efficiency</t>
  </si>
  <si>
    <t>HT flow</t>
  </si>
  <si>
    <t>HT inlet head</t>
  </si>
  <si>
    <t>HT outlet head</t>
  </si>
  <si>
    <t>HT total available head</t>
  </si>
  <si>
    <t>HT head losses</t>
  </si>
  <si>
    <t>HT net recoverable head</t>
  </si>
  <si>
    <t>HT mass flow</t>
  </si>
  <si>
    <t>Net power produced</t>
  </si>
  <si>
    <t>Net daily energy production</t>
  </si>
  <si>
    <t>$/day</t>
  </si>
  <si>
    <t>Pump &amp; motor efficiency</t>
  </si>
  <si>
    <t>FS salinity</t>
  </si>
  <si>
    <t>FS volume reduction</t>
  </si>
  <si>
    <t>%</t>
  </si>
  <si>
    <t>DS flow</t>
  </si>
  <si>
    <t>Membrane permeability</t>
  </si>
  <si>
    <t>Temperature</t>
  </si>
  <si>
    <t>Total power input</t>
  </si>
  <si>
    <t>FS flow</t>
  </si>
  <si>
    <t>Electricity cost</t>
  </si>
  <si>
    <t>FS density</t>
  </si>
  <si>
    <t>FS inlet osmotic pressure</t>
  </si>
  <si>
    <t>FS outlet osmotic pressure</t>
  </si>
  <si>
    <t>FS average osmotic pressure</t>
  </si>
  <si>
    <t>Membrane flux</t>
  </si>
  <si>
    <t>kWh/d</t>
  </si>
  <si>
    <t>Specific electricity value</t>
  </si>
  <si>
    <t>Total electricity value</t>
  </si>
  <si>
    <t>HT power generated</t>
  </si>
  <si>
    <t>DS pump power</t>
  </si>
  <si>
    <t>Feed pump power</t>
  </si>
  <si>
    <t>$/kWh</t>
  </si>
  <si>
    <t>Net flux</t>
  </si>
  <si>
    <t>Net power generated</t>
  </si>
  <si>
    <t>Hydroturbine</t>
  </si>
  <si>
    <r>
      <t>$/day</t>
    </r>
    <r>
      <rPr>
        <sz val="11"/>
        <rFont val="Times New Roman"/>
        <family val="1"/>
      </rPr>
      <t/>
    </r>
  </si>
  <si>
    <t>Concentrate flow</t>
  </si>
  <si>
    <t>Net power density</t>
  </si>
  <si>
    <t>Draw Solution</t>
  </si>
  <si>
    <t>Reverse salt flux</t>
  </si>
  <si>
    <t>RS flow</t>
  </si>
  <si>
    <t>Mass salt in</t>
  </si>
  <si>
    <t>% lost as RS</t>
  </si>
  <si>
    <t>Concentrate density</t>
  </si>
  <si>
    <t>FS salinity increase due to RSF</t>
  </si>
  <si>
    <t>DS effuent salinity with RSF</t>
  </si>
  <si>
    <t>FS effluent salinity with RSF</t>
  </si>
  <si>
    <t>DS influent flow</t>
  </si>
  <si>
    <t>Concentrate salinity, no RSF</t>
  </si>
  <si>
    <t>HT turbine efficiency</t>
  </si>
  <si>
    <t>HT drive efficiency</t>
  </si>
  <si>
    <t>HT generator efficiency</t>
  </si>
  <si>
    <t>DS inlet osmotic pressure</t>
  </si>
  <si>
    <t>DS outlet osmotic pressure</t>
  </si>
  <si>
    <t>DS average osmotic pressure</t>
  </si>
  <si>
    <t>DS inlet density</t>
  </si>
  <si>
    <t>Feed Solution</t>
  </si>
  <si>
    <t>Reverse Salt Flux</t>
  </si>
  <si>
    <t>Membrane</t>
  </si>
  <si>
    <t>DS membrane inlet pressure</t>
  </si>
  <si>
    <t>DS membrane outlet pressure</t>
  </si>
  <si>
    <t>FS inlet pressure</t>
  </si>
  <si>
    <t>Concentrate discharge head</t>
  </si>
  <si>
    <r>
      <t xml:space="preserve">Osmotic pressure differential, </t>
    </r>
    <r>
      <rPr>
        <sz val="11"/>
        <color rgb="FF5283BE"/>
        <rFont val="Calibri"/>
        <family val="2"/>
        <scheme val="minor"/>
      </rPr>
      <t xml:space="preserve">Δπ </t>
    </r>
  </si>
  <si>
    <r>
      <rPr>
        <sz val="11"/>
        <color rgb="FF5283BE"/>
        <rFont val="Calibri"/>
        <family val="2"/>
        <scheme val="minor"/>
      </rPr>
      <t>L/(m</t>
    </r>
    <r>
      <rPr>
        <vertAlign val="superscript"/>
        <sz val="11"/>
        <color rgb="FF5283BE"/>
        <rFont val="Calibri"/>
        <family val="2"/>
        <scheme val="minor"/>
      </rPr>
      <t>2</t>
    </r>
    <r>
      <rPr>
        <sz val="11"/>
        <color rgb="FF5283BE"/>
        <rFont val="Calibri"/>
        <family val="2"/>
        <scheme val="minor"/>
      </rPr>
      <t>-h-bar)</t>
    </r>
  </si>
  <si>
    <r>
      <t>L/(m</t>
    </r>
    <r>
      <rPr>
        <vertAlign val="superscript"/>
        <sz val="11"/>
        <color rgb="FF5283BE"/>
        <rFont val="Calibri"/>
        <family val="2"/>
        <scheme val="minor"/>
      </rPr>
      <t>2</t>
    </r>
    <r>
      <rPr>
        <sz val="11"/>
        <color rgb="FF5283BE"/>
        <rFont val="Calibri"/>
        <family val="2"/>
        <scheme val="minor"/>
      </rPr>
      <t>-h)</t>
    </r>
  </si>
  <si>
    <r>
      <t>m</t>
    </r>
    <r>
      <rPr>
        <vertAlign val="superscript"/>
        <sz val="11"/>
        <color rgb="FF5283BE"/>
        <rFont val="Calibri"/>
        <family val="2"/>
        <scheme val="minor"/>
      </rPr>
      <t>2</t>
    </r>
  </si>
  <si>
    <r>
      <t>m</t>
    </r>
    <r>
      <rPr>
        <vertAlign val="superscript"/>
        <sz val="12"/>
        <color theme="9" tint="-0.499984740745262"/>
        <rFont val="Calibri"/>
        <family val="2"/>
        <scheme val="minor"/>
      </rPr>
      <t>2</t>
    </r>
  </si>
  <si>
    <t>PX feed head</t>
  </si>
  <si>
    <t>PX recoverable head</t>
  </si>
  <si>
    <t>Pretreatment specific energy</t>
  </si>
  <si>
    <r>
      <t>kWh/m</t>
    </r>
    <r>
      <rPr>
        <vertAlign val="superscript"/>
        <sz val="12"/>
        <color theme="1"/>
        <rFont val="Calibri"/>
        <family val="2"/>
        <scheme val="minor"/>
      </rPr>
      <t>3</t>
    </r>
  </si>
  <si>
    <t>Total specific energy input</t>
  </si>
  <si>
    <r>
      <t>kWh/m</t>
    </r>
    <r>
      <rPr>
        <vertAlign val="superscript"/>
        <sz val="12"/>
        <rFont val="Calibri"/>
        <family val="2"/>
        <scheme val="minor"/>
      </rPr>
      <t>3</t>
    </r>
  </si>
  <si>
    <t>Total FS &amp; DS flow</t>
  </si>
  <si>
    <t>HT specific energy production</t>
  </si>
  <si>
    <r>
      <t>m</t>
    </r>
    <r>
      <rPr>
        <vertAlign val="superscript"/>
        <sz val="12"/>
        <color rgb="FF00B0F0"/>
        <rFont val="Calibri"/>
        <family val="2"/>
        <scheme val="minor"/>
      </rPr>
      <t>3</t>
    </r>
    <r>
      <rPr>
        <sz val="12"/>
        <color rgb="FF00B0F0"/>
        <rFont val="Calibri"/>
        <family val="2"/>
        <scheme val="minor"/>
      </rPr>
      <t>/h</t>
    </r>
  </si>
  <si>
    <r>
      <t>m</t>
    </r>
    <r>
      <rPr>
        <vertAlign val="superscript"/>
        <sz val="12"/>
        <color rgb="FF5283BE"/>
        <rFont val="Calibri"/>
        <family val="2"/>
        <scheme val="minor"/>
      </rPr>
      <t>3</t>
    </r>
    <r>
      <rPr>
        <sz val="12"/>
        <color rgb="FF5283BE"/>
        <rFont val="Calibri"/>
        <family val="2"/>
        <scheme val="minor"/>
      </rPr>
      <t>/h</t>
    </r>
  </si>
  <si>
    <r>
      <t>m</t>
    </r>
    <r>
      <rPr>
        <vertAlign val="superscript"/>
        <sz val="12"/>
        <rFont val="Calibri"/>
        <family val="2"/>
        <scheme val="minor"/>
      </rPr>
      <t>3</t>
    </r>
    <r>
      <rPr>
        <sz val="12"/>
        <rFont val="Calibri"/>
        <family val="2"/>
        <scheme val="minor"/>
      </rPr>
      <t>/h</t>
    </r>
  </si>
  <si>
    <r>
      <t>m</t>
    </r>
    <r>
      <rPr>
        <vertAlign val="superscript"/>
        <sz val="12"/>
        <color rgb="FF00CC00"/>
        <rFont val="Calibri"/>
        <family val="2"/>
        <scheme val="minor"/>
      </rPr>
      <t>3</t>
    </r>
    <r>
      <rPr>
        <sz val="12"/>
        <color rgb="FF00CC00"/>
        <rFont val="Calibri"/>
        <family val="2"/>
        <scheme val="minor"/>
      </rPr>
      <t>/h</t>
    </r>
  </si>
  <si>
    <t>Average differential salinity</t>
  </si>
  <si>
    <t>DS salinity lost due to RSF</t>
  </si>
  <si>
    <t>DS influent static head</t>
  </si>
  <si>
    <t>$/d</t>
  </si>
  <si>
    <t>kW</t>
  </si>
  <si>
    <t xml:space="preserve">RO operating pressure </t>
  </si>
  <si>
    <t xml:space="preserve">RO feed flow </t>
  </si>
  <si>
    <t xml:space="preserve">RO outputs </t>
  </si>
  <si>
    <t xml:space="preserve">Required RO pump head </t>
  </si>
  <si>
    <t>SWRO PX</t>
  </si>
  <si>
    <t>RO permeate flow</t>
  </si>
  <si>
    <t>PX total available head</t>
  </si>
  <si>
    <t xml:space="preserve">PX net available head </t>
  </si>
  <si>
    <t xml:space="preserve">RO brine flow </t>
  </si>
  <si>
    <t xml:space="preserve">RO recovery </t>
  </si>
  <si>
    <r>
      <t>m</t>
    </r>
    <r>
      <rPr>
        <vertAlign val="superscript"/>
        <sz val="12"/>
        <color rgb="FFFF00FF"/>
        <rFont val="Calibri"/>
        <family val="2"/>
        <scheme val="minor"/>
      </rPr>
      <t>3</t>
    </r>
    <r>
      <rPr>
        <sz val="12"/>
        <color rgb="FFFF00FF"/>
        <rFont val="Calibri"/>
        <family val="2"/>
        <scheme val="minor"/>
      </rPr>
      <t>/h</t>
    </r>
  </si>
  <si>
    <t>Pretreatment power</t>
  </si>
  <si>
    <t>Units</t>
  </si>
  <si>
    <t>PRO power input</t>
  </si>
  <si>
    <t>Energy savings</t>
  </si>
  <si>
    <t>PX power savings</t>
  </si>
  <si>
    <r>
      <t xml:space="preserve">Hydraulic </t>
    </r>
    <r>
      <rPr>
        <sz val="11"/>
        <color rgb="FF5283BE"/>
        <rFont val="Calibri"/>
        <family val="2"/>
        <scheme val="minor"/>
      </rPr>
      <t xml:space="preserve">ΔP </t>
    </r>
  </si>
  <si>
    <t>HT eff. (turbine, drive, gen)</t>
  </si>
  <si>
    <t>Total DS &amp; FS flow</t>
  </si>
  <si>
    <r>
      <t>m</t>
    </r>
    <r>
      <rPr>
        <vertAlign val="superscript"/>
        <sz val="12"/>
        <color rgb="FFFF00FF"/>
        <rFont val="Calibri"/>
        <family val="2"/>
        <scheme val="minor"/>
      </rPr>
      <t>3/</t>
    </r>
    <r>
      <rPr>
        <sz val="12"/>
        <color rgb="FFFF00FF"/>
        <rFont val="Calibri"/>
        <family val="2"/>
        <scheme val="minor"/>
      </rPr>
      <t>h</t>
    </r>
  </si>
  <si>
    <r>
      <t>m</t>
    </r>
    <r>
      <rPr>
        <vertAlign val="superscript"/>
        <sz val="12"/>
        <color rgb="FFFF00FF"/>
        <rFont val="Calibri"/>
        <family val="2"/>
        <scheme val="minor"/>
      </rPr>
      <t>3</t>
    </r>
    <r>
      <rPr>
        <sz val="12"/>
        <color rgb="FFFF00FF"/>
        <rFont val="Calibri"/>
        <family val="2"/>
        <scheme val="minor"/>
      </rPr>
      <t xml:space="preserve">/h </t>
    </r>
  </si>
  <si>
    <r>
      <t>kWh/m</t>
    </r>
    <r>
      <rPr>
        <vertAlign val="superscript"/>
        <sz val="12"/>
        <color rgb="FF00CC00"/>
        <rFont val="Calibri"/>
        <family val="2"/>
        <scheme val="minor"/>
      </rPr>
      <t>3</t>
    </r>
  </si>
  <si>
    <r>
      <t>m</t>
    </r>
    <r>
      <rPr>
        <vertAlign val="superscript"/>
        <sz val="12"/>
        <color theme="1" tint="0.34998626667073579"/>
        <rFont val="Calibri"/>
        <family val="2"/>
        <scheme val="minor"/>
      </rPr>
      <t>3</t>
    </r>
    <r>
      <rPr>
        <sz val="12"/>
        <color theme="1" tint="0.34998626667073579"/>
        <rFont val="Calibri"/>
        <family val="2"/>
        <scheme val="minor"/>
      </rPr>
      <t>/h</t>
    </r>
  </si>
  <si>
    <r>
      <t xml:space="preserve">FS operating pressure </t>
    </r>
    <r>
      <rPr>
        <sz val="9"/>
        <color theme="1" tint="0.34998626667073579"/>
        <rFont val="Calibri"/>
        <family val="2"/>
        <scheme val="minor"/>
      </rPr>
      <t>(</t>
    </r>
    <r>
      <rPr>
        <i/>
        <sz val="9"/>
        <color theme="1" tint="0.34998626667073579"/>
        <rFont val="Calibri"/>
        <family val="2"/>
        <scheme val="minor"/>
      </rPr>
      <t>average)</t>
    </r>
  </si>
  <si>
    <t>DS Salinity</t>
  </si>
  <si>
    <t>DS Pressure</t>
  </si>
  <si>
    <t>DS Dilution</t>
  </si>
  <si>
    <t>FS Salinity</t>
  </si>
  <si>
    <t>FS Flow</t>
  </si>
  <si>
    <t>FS Volume reduction</t>
  </si>
  <si>
    <t>Membrane pressure loss</t>
  </si>
  <si>
    <t>% of DS influent</t>
  </si>
  <si>
    <t>°C</t>
  </si>
  <si>
    <t>Key Process Inputs</t>
  </si>
  <si>
    <t>RO-PX bypass flow</t>
  </si>
  <si>
    <t>RO-PX inlet head</t>
  </si>
  <si>
    <t>RO-PX seawater flow</t>
  </si>
  <si>
    <t>RO-PX outlet head</t>
  </si>
  <si>
    <t>Waterflood</t>
  </si>
  <si>
    <r>
      <t>m</t>
    </r>
    <r>
      <rPr>
        <vertAlign val="superscript"/>
        <sz val="12"/>
        <color theme="9" tint="-0.249977111117893"/>
        <rFont val="Calibri"/>
        <family val="2"/>
        <scheme val="minor"/>
      </rPr>
      <t>3</t>
    </r>
    <r>
      <rPr>
        <sz val="12"/>
        <color theme="9" tint="-0.249977111117893"/>
        <rFont val="Calibri"/>
        <family val="2"/>
        <scheme val="minor"/>
      </rPr>
      <t>/h</t>
    </r>
  </si>
  <si>
    <r>
      <t>kWh/m</t>
    </r>
    <r>
      <rPr>
        <vertAlign val="superscript"/>
        <sz val="12"/>
        <color theme="9" tint="-0.249977111117893"/>
        <rFont val="Calibri"/>
        <family val="2"/>
        <scheme val="minor"/>
      </rPr>
      <t>3</t>
    </r>
  </si>
  <si>
    <r>
      <t>kg/m</t>
    </r>
    <r>
      <rPr>
        <vertAlign val="superscript"/>
        <sz val="12"/>
        <color theme="9" tint="-0.499984740745262"/>
        <rFont val="Calibri"/>
        <family val="2"/>
        <scheme val="minor"/>
      </rPr>
      <t>3</t>
    </r>
  </si>
  <si>
    <t>kg/h</t>
  </si>
  <si>
    <t>DS pump head</t>
  </si>
  <si>
    <t>DS effluent flow to PX</t>
  </si>
  <si>
    <t>Density differential (DS effl/infl)</t>
  </si>
  <si>
    <t>Density differential (DS effl/SW)</t>
  </si>
  <si>
    <t>RO pump power with PX</t>
  </si>
  <si>
    <t>RO pump power without PX</t>
  </si>
  <si>
    <t>Net energy savings with PRO</t>
  </si>
  <si>
    <t>$ value of PRO energy</t>
  </si>
  <si>
    <t>RO-PX flow</t>
  </si>
  <si>
    <t>% of RO feed flow</t>
  </si>
  <si>
    <t>PRO-PX power savings</t>
  </si>
  <si>
    <t>PRO pumping specific energy</t>
  </si>
  <si>
    <t>Total PRO power input</t>
  </si>
  <si>
    <r>
      <t>$/m</t>
    </r>
    <r>
      <rPr>
        <vertAlign val="superscript"/>
        <sz val="11"/>
        <color rgb="FF00CC00"/>
        <rFont val="Calibri"/>
        <family val="2"/>
        <scheme val="minor"/>
      </rPr>
      <t>2</t>
    </r>
    <r>
      <rPr>
        <sz val="11"/>
        <color rgb="FF00CC00"/>
        <rFont val="Calibri"/>
        <family val="2"/>
        <scheme val="minor"/>
      </rPr>
      <t>-d</t>
    </r>
  </si>
  <si>
    <r>
      <t>W/m</t>
    </r>
    <r>
      <rPr>
        <vertAlign val="superscript"/>
        <sz val="12"/>
        <color rgb="FF00CC00"/>
        <rFont val="Calibri"/>
        <family val="2"/>
        <scheme val="minor"/>
      </rPr>
      <t>2</t>
    </r>
  </si>
  <si>
    <r>
      <t>W/m</t>
    </r>
    <r>
      <rPr>
        <vertAlign val="superscript"/>
        <sz val="11"/>
        <color rgb="FF00CC00"/>
        <rFont val="Calibri"/>
        <family val="2"/>
        <scheme val="minor"/>
      </rPr>
      <t>2</t>
    </r>
  </si>
  <si>
    <t>Diluted DS flow</t>
  </si>
  <si>
    <t>Diluted DS salinity</t>
  </si>
  <si>
    <t>Concentrated FS flow</t>
  </si>
  <si>
    <t>Concentrated FS salinity, no RSF</t>
  </si>
  <si>
    <t>FS &amp; DS pump power</t>
  </si>
  <si>
    <t>Key PRO Outputs</t>
  </si>
  <si>
    <t>Specific energy savings</t>
  </si>
  <si>
    <r>
      <t>$/m</t>
    </r>
    <r>
      <rPr>
        <vertAlign val="superscript"/>
        <sz val="12"/>
        <color rgb="FFFF00FF"/>
        <rFont val="Calibri"/>
        <family val="2"/>
        <scheme val="minor"/>
      </rPr>
      <t>2</t>
    </r>
    <r>
      <rPr>
        <sz val="12"/>
        <color rgb="FFFF00FF"/>
        <rFont val="Calibri"/>
        <family val="2"/>
        <scheme val="minor"/>
      </rPr>
      <t>-d</t>
    </r>
  </si>
  <si>
    <r>
      <t>m</t>
    </r>
    <r>
      <rPr>
        <vertAlign val="superscript"/>
        <sz val="12"/>
        <color rgb="FFFF0000"/>
        <rFont val="Calibri"/>
        <family val="2"/>
        <scheme val="minor"/>
      </rPr>
      <t>3</t>
    </r>
    <r>
      <rPr>
        <sz val="12"/>
        <color rgb="FFFF0000"/>
        <rFont val="Calibri"/>
        <family val="2"/>
        <scheme val="minor"/>
      </rPr>
      <t>/h</t>
    </r>
  </si>
  <si>
    <r>
      <t>L/(m</t>
    </r>
    <r>
      <rPr>
        <vertAlign val="superscript"/>
        <sz val="12"/>
        <color rgb="FFFF0000"/>
        <rFont val="Calibri"/>
        <family val="2"/>
        <scheme val="minor"/>
      </rPr>
      <t>2</t>
    </r>
    <r>
      <rPr>
        <sz val="12"/>
        <color rgb="FFFF0000"/>
        <rFont val="Calibri"/>
        <family val="2"/>
        <scheme val="minor"/>
      </rPr>
      <t>-h)</t>
    </r>
  </si>
  <si>
    <r>
      <t>m</t>
    </r>
    <r>
      <rPr>
        <vertAlign val="superscript"/>
        <sz val="12"/>
        <color rgb="FFFF0000"/>
        <rFont val="Calibri"/>
        <family val="2"/>
        <scheme val="minor"/>
      </rPr>
      <t>2</t>
    </r>
  </si>
  <si>
    <r>
      <t>W/m</t>
    </r>
    <r>
      <rPr>
        <vertAlign val="superscript"/>
        <sz val="12"/>
        <color rgb="FFFF0000"/>
        <rFont val="Calibri"/>
        <family val="2"/>
        <scheme val="minor"/>
      </rPr>
      <t>2</t>
    </r>
  </si>
  <si>
    <t>Specific energy production</t>
  </si>
  <si>
    <r>
      <t>kWh/m</t>
    </r>
    <r>
      <rPr>
        <vertAlign val="superscript"/>
        <sz val="11"/>
        <color rgb="FF00CC00"/>
        <rFont val="Calibri"/>
        <family val="2"/>
        <scheme val="minor"/>
      </rPr>
      <t>2</t>
    </r>
    <r>
      <rPr>
        <sz val="11"/>
        <color rgb="FF00CC00"/>
        <rFont val="Calibri"/>
        <family val="2"/>
        <scheme val="minor"/>
      </rPr>
      <t>-d</t>
    </r>
  </si>
  <si>
    <t>Daily energy production</t>
  </si>
  <si>
    <r>
      <t>Diluted DS salinity</t>
    </r>
    <r>
      <rPr>
        <i/>
        <vertAlign val="subscript"/>
        <sz val="11"/>
        <color rgb="FF00B0F0"/>
        <rFont val="Calibri"/>
        <family val="2"/>
        <scheme val="minor"/>
      </rPr>
      <t xml:space="preserve"> (calc)</t>
    </r>
    <r>
      <rPr>
        <i/>
        <sz val="11"/>
        <color rgb="FF00B0F0"/>
        <rFont val="Calibri"/>
        <family val="2"/>
        <scheme val="minor"/>
      </rPr>
      <t xml:space="preserve"> NO RSF</t>
    </r>
  </si>
  <si>
    <t>Diluted DS density</t>
  </si>
  <si>
    <t>WF application</t>
  </si>
  <si>
    <t>WF = 1; other = 0</t>
  </si>
  <si>
    <t>FS &amp; DS discharge static head</t>
  </si>
  <si>
    <t>DS-PX flow</t>
  </si>
  <si>
    <t>Optimum DS pressure</t>
  </si>
  <si>
    <t>HT</t>
  </si>
  <si>
    <t>Net RO power savings</t>
  </si>
  <si>
    <t>Parameter</t>
  </si>
  <si>
    <t>RO</t>
  </si>
  <si>
    <t>WF</t>
  </si>
  <si>
    <r>
      <t>Membrane power density, P</t>
    </r>
    <r>
      <rPr>
        <vertAlign val="subscript"/>
        <sz val="11"/>
        <color rgb="FF00CC00"/>
        <rFont val="Calibri"/>
        <family val="2"/>
        <scheme val="minor"/>
      </rPr>
      <t xml:space="preserve">d </t>
    </r>
    <r>
      <rPr>
        <sz val="12"/>
        <color rgb="FF00CC00"/>
        <rFont val="Calibri"/>
        <family val="2"/>
        <scheme val="minor"/>
      </rPr>
      <t xml:space="preserve"> (based on flux)</t>
    </r>
  </si>
  <si>
    <t>Membrane power density</t>
  </si>
  <si>
    <t>$/module-yr</t>
  </si>
  <si>
    <r>
      <t>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/h</t>
    </r>
  </si>
  <si>
    <r>
      <t>kWh/m</t>
    </r>
    <r>
      <rPr>
        <vertAlign val="superscript"/>
        <sz val="11"/>
        <rFont val="Calibri"/>
        <family val="2"/>
        <scheme val="minor"/>
      </rPr>
      <t>3</t>
    </r>
  </si>
  <si>
    <r>
      <t>L/(m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-h-bar)</t>
    </r>
  </si>
  <si>
    <r>
      <t>g/m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-h-(g/L)</t>
    </r>
  </si>
  <si>
    <r>
      <t>m</t>
    </r>
    <r>
      <rPr>
        <vertAlign val="superscript"/>
        <sz val="11"/>
        <rFont val="Calibri"/>
        <family val="2"/>
        <scheme val="minor"/>
      </rPr>
      <t>2</t>
    </r>
  </si>
  <si>
    <t>General Inputs</t>
  </si>
  <si>
    <t>Area of 8" spiral PRO membrane</t>
  </si>
  <si>
    <t>Net specific energy benefit</t>
  </si>
  <si>
    <t>$/barrel</t>
  </si>
  <si>
    <t>Annual economic benefit</t>
  </si>
  <si>
    <t>Configuration-identification Inputs</t>
  </si>
  <si>
    <t>WF water cut</t>
  </si>
  <si>
    <t>WF value of oil</t>
  </si>
  <si>
    <t>DS side membrane losses</t>
  </si>
  <si>
    <t>Pumps and PX</t>
  </si>
  <si>
    <t>Incremental injection flow (PRO permeate)</t>
  </si>
  <si>
    <t>Extra oil production</t>
  </si>
  <si>
    <t>Value of the oil produced</t>
  </si>
  <si>
    <t>$/hr</t>
  </si>
  <si>
    <t>bbl/hr</t>
  </si>
  <si>
    <t>Feed pump energy</t>
  </si>
  <si>
    <t>DS membrane losses</t>
  </si>
  <si>
    <t>PRO energy cost</t>
  </si>
  <si>
    <t>Pretreatment</t>
  </si>
  <si>
    <t>Net hourly benefit</t>
  </si>
  <si>
    <t>Value of extra oil production</t>
  </si>
  <si>
    <r>
      <t>kWh/m</t>
    </r>
    <r>
      <rPr>
        <vertAlign val="superscript"/>
        <sz val="12"/>
        <color rgb="FFFF0000"/>
        <rFont val="Calibri"/>
        <family val="2"/>
        <scheme val="minor"/>
      </rPr>
      <t>3</t>
    </r>
  </si>
  <si>
    <r>
      <t>kWh/m</t>
    </r>
    <r>
      <rPr>
        <vertAlign val="superscript"/>
        <sz val="12"/>
        <color rgb="FFFF00FF"/>
        <rFont val="Calibri"/>
        <family val="2"/>
        <scheme val="minor"/>
      </rPr>
      <t>3</t>
    </r>
  </si>
  <si>
    <t>Incremental energy input</t>
  </si>
  <si>
    <t>Net specific energy production</t>
  </si>
  <si>
    <t>Net specific energy savings</t>
  </si>
  <si>
    <t>Net specific energy input</t>
  </si>
  <si>
    <t>Annual gross value of oil production</t>
  </si>
  <si>
    <r>
      <t>Net power density PD</t>
    </r>
    <r>
      <rPr>
        <vertAlign val="subscript"/>
        <sz val="12"/>
        <color rgb="FFFF00FF"/>
        <rFont val="Calibri"/>
        <family val="2"/>
        <scheme val="minor"/>
      </rPr>
      <t>net</t>
    </r>
  </si>
  <si>
    <t>W/m2</t>
  </si>
  <si>
    <t>Total power cost</t>
  </si>
  <si>
    <t>% (of DS influent to DS-PX)</t>
  </si>
  <si>
    <t>0 -100%</t>
  </si>
  <si>
    <t>% (of RO feed flow to RO-PX)</t>
  </si>
  <si>
    <t>GWSC PRO Economic Model User Guidelines:</t>
  </si>
  <si>
    <t>1- The spreadsheet incorporates a built-in Macro to calculate the density of the water streams. Please make sure that you click on "Enable content" when prompted by Excel.</t>
  </si>
  <si>
    <t>Economic Model for WF</t>
  </si>
  <si>
    <t>Other PRO configurations</t>
  </si>
  <si>
    <t>2- This model is not intended to predict PRO permeate flow but focuses on the economic parameters; the user can input the membrane permeability and other process parameters for their specific application.</t>
  </si>
  <si>
    <t>3- The model can be applied to evaluate three PRO configurations: waterflooding (WF), hydroturbine (HT), &amp; reverse osmosis (RO). Please refer to the table below to select inputs needed to differentiate between these configurations.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</si>
</sst>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"/>
    <numFmt numFmtId="166" formatCode="&quot;$&quot;#,##0"/>
    <numFmt numFmtId="167" formatCode="_(&quot;$&quot;* #,##0_);_(&quot;$&quot;* \(#,##0\);_(&quot;$&quot;* &quot;-&quot;??_);_(@_)"/>
  </numFmts>
  <fonts count="97" x14ac:knownFonts="1">
    <font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vertAlign val="superscript"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9A46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i/>
      <sz val="16"/>
      <color rgb="FF009A46"/>
      <name val="Calibri"/>
      <family val="2"/>
      <scheme val="minor"/>
    </font>
    <font>
      <sz val="12"/>
      <color rgb="FF00CC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5283BE"/>
      <name val="Calibri"/>
      <family val="2"/>
      <scheme val="minor"/>
    </font>
    <font>
      <sz val="11"/>
      <color rgb="FF5283BE"/>
      <name val="Calibri"/>
      <family val="2"/>
      <scheme val="minor"/>
    </font>
    <font>
      <vertAlign val="superscript"/>
      <sz val="11"/>
      <color rgb="FF5283BE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vertAlign val="superscript"/>
      <sz val="12"/>
      <color theme="9" tint="-0.499984740745262"/>
      <name val="Calibri"/>
      <family val="2"/>
      <scheme val="minor"/>
    </font>
    <font>
      <sz val="12"/>
      <color rgb="FF00B0F0"/>
      <name val="Calibri"/>
      <family val="2"/>
      <scheme val="minor"/>
    </font>
    <font>
      <i/>
      <vertAlign val="subscript"/>
      <sz val="11"/>
      <color rgb="FF00B0F0"/>
      <name val="Calibri"/>
      <family val="2"/>
      <scheme val="minor"/>
    </font>
    <font>
      <i/>
      <sz val="11"/>
      <color rgb="FF00B0F0"/>
      <name val="Calibri"/>
      <family val="2"/>
      <scheme val="minor"/>
    </font>
    <font>
      <b/>
      <i/>
      <sz val="16"/>
      <color rgb="FF00B0F0"/>
      <name val="Calibri"/>
      <family val="2"/>
      <scheme val="minor"/>
    </font>
    <font>
      <b/>
      <i/>
      <sz val="16"/>
      <color theme="9" tint="-0.499984740745262"/>
      <name val="Calibri"/>
      <family val="2"/>
      <scheme val="minor"/>
    </font>
    <font>
      <b/>
      <i/>
      <sz val="16"/>
      <color rgb="FF5283BE"/>
      <name val="Calibri"/>
      <family val="2"/>
      <scheme val="minor"/>
    </font>
    <font>
      <b/>
      <i/>
      <sz val="16"/>
      <color theme="3" tint="-0.249977111117893"/>
      <name val="Calibri"/>
      <family val="2"/>
      <scheme val="minor"/>
    </font>
    <font>
      <b/>
      <i/>
      <sz val="16"/>
      <color rgb="FF00CC00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vertAlign val="superscript"/>
      <sz val="12"/>
      <color rgb="FF00B0F0"/>
      <name val="Calibri"/>
      <family val="2"/>
      <scheme val="minor"/>
    </font>
    <font>
      <vertAlign val="superscript"/>
      <sz val="12"/>
      <color rgb="FF5283BE"/>
      <name val="Calibri"/>
      <family val="2"/>
      <scheme val="minor"/>
    </font>
    <font>
      <vertAlign val="superscript"/>
      <sz val="12"/>
      <color rgb="FF00CC00"/>
      <name val="Calibri"/>
      <family val="2"/>
      <scheme val="minor"/>
    </font>
    <font>
      <sz val="12"/>
      <color theme="3" tint="0.39997558519241921"/>
      <name val="Calibri"/>
      <family val="2"/>
      <scheme val="minor"/>
    </font>
    <font>
      <b/>
      <i/>
      <sz val="16"/>
      <color rgb="FFFF00FF"/>
      <name val="Calibri"/>
      <family val="2"/>
      <scheme val="minor"/>
    </font>
    <font>
      <sz val="12"/>
      <color rgb="FFFF00FF"/>
      <name val="Calibri"/>
      <family val="2"/>
      <scheme val="minor"/>
    </font>
    <font>
      <vertAlign val="superscript"/>
      <sz val="12"/>
      <color rgb="FFFF00FF"/>
      <name val="Calibri"/>
      <family val="2"/>
      <scheme val="minor"/>
    </font>
    <font>
      <sz val="11"/>
      <color rgb="FFFF00FF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vertAlign val="superscript"/>
      <sz val="12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i/>
      <sz val="9"/>
      <color theme="1" tint="0.34998626667073579"/>
      <name val="Calibri"/>
      <family val="2"/>
      <scheme val="minor"/>
    </font>
    <font>
      <b/>
      <i/>
      <sz val="16"/>
      <color theme="1" tint="0.34998626667073579"/>
      <name val="Calibri"/>
      <family val="2"/>
      <scheme val="minor"/>
    </font>
    <font>
      <b/>
      <i/>
      <sz val="16"/>
      <color theme="9" tint="-0.249977111117893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vertAlign val="superscript"/>
      <sz val="12"/>
      <color theme="9" tint="-0.249977111117893"/>
      <name val="Calibri"/>
      <family val="2"/>
      <scheme val="minor"/>
    </font>
    <font>
      <vertAlign val="superscript"/>
      <sz val="11"/>
      <color rgb="FF00CC00"/>
      <name val="Calibri"/>
      <family val="2"/>
      <scheme val="minor"/>
    </font>
    <font>
      <sz val="11"/>
      <color rgb="FF00CC00"/>
      <name val="Calibri"/>
      <family val="2"/>
      <scheme val="minor"/>
    </font>
    <font>
      <vertAlign val="subscript"/>
      <sz val="11"/>
      <color rgb="FF00CC00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i/>
      <sz val="16"/>
      <name val="Calibri"/>
      <family val="2"/>
      <scheme val="minor"/>
    </font>
    <font>
      <i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0"/>
      <name val="Calibri"/>
      <family val="2"/>
      <scheme val="minor"/>
    </font>
    <font>
      <b/>
      <i/>
      <sz val="14"/>
      <color indexed="8"/>
      <name val="Calibri"/>
      <family val="2"/>
      <scheme val="minor"/>
    </font>
    <font>
      <vertAlign val="subscript"/>
      <sz val="12"/>
      <color rgb="FFFF00FF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9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13" fillId="3" borderId="0" applyNumberFormat="0" applyBorder="0" applyAlignment="0" applyProtection="0"/>
    <xf numFmtId="0" fontId="9" fillId="20" borderId="2" applyNumberFormat="0" applyAlignment="0" applyProtection="0"/>
    <xf numFmtId="0" fontId="20" fillId="21" borderId="3" applyNumberFormat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0" fillId="7" borderId="2" applyNumberFormat="0" applyAlignment="0" applyProtection="0"/>
    <xf numFmtId="0" fontId="18" fillId="0" borderId="8" applyNumberFormat="0" applyFill="0" applyAlignment="0" applyProtection="0"/>
    <xf numFmtId="0" fontId="21" fillId="22" borderId="9" applyNumberFormat="0" applyFont="0" applyAlignment="0" applyProtection="0"/>
    <xf numFmtId="0" fontId="8" fillId="20" borderId="1" applyNumberFormat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6" fillId="0" borderId="4" applyNumberFormat="0" applyFill="0" applyAlignment="0" applyProtection="0"/>
    <xf numFmtId="0" fontId="19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3" fillId="0" borderId="0"/>
    <xf numFmtId="0" fontId="35" fillId="0" borderId="0" applyNumberFormat="0" applyFill="0" applyBorder="0" applyAlignment="0" applyProtection="0"/>
    <xf numFmtId="0" fontId="36" fillId="0" borderId="16" applyNumberFormat="0" applyFill="0" applyAlignment="0" applyProtection="0"/>
    <xf numFmtId="0" fontId="37" fillId="0" borderId="17" applyNumberFormat="0" applyFill="0" applyAlignment="0" applyProtection="0"/>
    <xf numFmtId="0" fontId="38" fillId="0" borderId="18" applyNumberFormat="0" applyFill="0" applyAlignment="0" applyProtection="0"/>
    <xf numFmtId="0" fontId="38" fillId="0" borderId="0" applyNumberFormat="0" applyFill="0" applyBorder="0" applyAlignment="0" applyProtection="0"/>
    <xf numFmtId="0" fontId="39" fillId="24" borderId="0" applyNumberFormat="0" applyBorder="0" applyAlignment="0" applyProtection="0"/>
    <xf numFmtId="0" fontId="40" fillId="25" borderId="0" applyNumberFormat="0" applyBorder="0" applyAlignment="0" applyProtection="0"/>
    <xf numFmtId="0" fontId="41" fillId="23" borderId="0" applyNumberFormat="0" applyBorder="0" applyAlignment="0" applyProtection="0"/>
    <xf numFmtId="0" fontId="42" fillId="26" borderId="19" applyNumberFormat="0" applyAlignment="0" applyProtection="0"/>
    <xf numFmtId="0" fontId="43" fillId="27" borderId="20" applyNumberFormat="0" applyAlignment="0" applyProtection="0"/>
    <xf numFmtId="0" fontId="44" fillId="27" borderId="19" applyNumberFormat="0" applyAlignment="0" applyProtection="0"/>
    <xf numFmtId="0" fontId="45" fillId="0" borderId="21" applyNumberFormat="0" applyFill="0" applyAlignment="0" applyProtection="0"/>
    <xf numFmtId="0" fontId="46" fillId="28" borderId="22" applyNumberFormat="0" applyAlignment="0" applyProtection="0"/>
    <xf numFmtId="0" fontId="33" fillId="0" borderId="0" applyNumberFormat="0" applyFill="0" applyBorder="0" applyAlignment="0" applyProtection="0"/>
    <xf numFmtId="0" fontId="3" fillId="29" borderId="23" applyNumberFormat="0" applyFont="0" applyAlignment="0" applyProtection="0"/>
    <xf numFmtId="0" fontId="47" fillId="0" borderId="0" applyNumberFormat="0" applyFill="0" applyBorder="0" applyAlignment="0" applyProtection="0"/>
    <xf numFmtId="0" fontId="48" fillId="0" borderId="24" applyNumberFormat="0" applyFill="0" applyAlignment="0" applyProtection="0"/>
    <xf numFmtId="0" fontId="4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9" fillId="33" borderId="0" applyNumberFormat="0" applyBorder="0" applyAlignment="0" applyProtection="0"/>
    <xf numFmtId="0" fontId="49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49" fillId="37" borderId="0" applyNumberFormat="0" applyBorder="0" applyAlignment="0" applyProtection="0"/>
    <xf numFmtId="0" fontId="49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0" borderId="0" applyNumberFormat="0" applyBorder="0" applyAlignment="0" applyProtection="0"/>
    <xf numFmtId="0" fontId="49" fillId="41" borderId="0" applyNumberFormat="0" applyBorder="0" applyAlignment="0" applyProtection="0"/>
    <xf numFmtId="0" fontId="49" fillId="42" borderId="0" applyNumberFormat="0" applyBorder="0" applyAlignment="0" applyProtection="0"/>
    <xf numFmtId="0" fontId="3" fillId="43" borderId="0" applyNumberFormat="0" applyBorder="0" applyAlignment="0" applyProtection="0"/>
    <xf numFmtId="0" fontId="3" fillId="44" borderId="0" applyNumberFormat="0" applyBorder="0" applyAlignment="0" applyProtection="0"/>
    <xf numFmtId="0" fontId="49" fillId="45" borderId="0" applyNumberFormat="0" applyBorder="0" applyAlignment="0" applyProtection="0"/>
    <xf numFmtId="0" fontId="49" fillId="46" borderId="0" applyNumberFormat="0" applyBorder="0" applyAlignment="0" applyProtection="0"/>
    <xf numFmtId="0" fontId="3" fillId="47" borderId="0" applyNumberFormat="0" applyBorder="0" applyAlignment="0" applyProtection="0"/>
    <xf numFmtId="0" fontId="3" fillId="48" borderId="0" applyNumberFormat="0" applyBorder="0" applyAlignment="0" applyProtection="0"/>
    <xf numFmtId="0" fontId="49" fillId="49" borderId="0" applyNumberFormat="0" applyBorder="0" applyAlignment="0" applyProtection="0"/>
    <xf numFmtId="0" fontId="49" fillId="50" borderId="0" applyNumberFormat="0" applyBorder="0" applyAlignment="0" applyProtection="0"/>
    <xf numFmtId="0" fontId="3" fillId="51" borderId="0" applyNumberFormat="0" applyBorder="0" applyAlignment="0" applyProtection="0"/>
    <xf numFmtId="0" fontId="3" fillId="52" borderId="0" applyNumberFormat="0" applyBorder="0" applyAlignment="0" applyProtection="0"/>
    <xf numFmtId="0" fontId="49" fillId="53" borderId="0" applyNumberFormat="0" applyBorder="0" applyAlignment="0" applyProtection="0"/>
    <xf numFmtId="0" fontId="2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4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13" fillId="3" borderId="0" applyNumberFormat="0" applyBorder="0" applyAlignment="0" applyProtection="0"/>
    <xf numFmtId="0" fontId="9" fillId="20" borderId="2" applyNumberFormat="0" applyAlignment="0" applyProtection="0"/>
    <xf numFmtId="0" fontId="20" fillId="21" borderId="3" applyNumberFormat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0" fillId="7" borderId="2" applyNumberFormat="0" applyAlignment="0" applyProtection="0"/>
    <xf numFmtId="0" fontId="18" fillId="0" borderId="8" applyNumberFormat="0" applyFill="0" applyAlignment="0" applyProtection="0"/>
    <xf numFmtId="0" fontId="21" fillId="22" borderId="9" applyNumberFormat="0" applyFont="0" applyAlignment="0" applyProtection="0"/>
    <xf numFmtId="0" fontId="8" fillId="20" borderId="1" applyNumberFormat="0" applyAlignment="0" applyProtection="0"/>
    <xf numFmtId="0" fontId="14" fillId="0" borderId="0" applyNumberFormat="0" applyFill="0" applyBorder="0" applyAlignment="0" applyProtection="0"/>
    <xf numFmtId="0" fontId="6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4" fillId="0" borderId="0"/>
    <xf numFmtId="43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2" fillId="0" borderId="0"/>
    <xf numFmtId="0" fontId="1" fillId="0" borderId="0"/>
  </cellStyleXfs>
  <cellXfs count="305">
    <xf numFmtId="0" fontId="0" fillId="0" borderId="0" xfId="0"/>
    <xf numFmtId="0" fontId="25" fillId="0" borderId="0" xfId="0" applyFont="1" applyAlignment="1">
      <alignment horizontal="center" vertical="center"/>
    </xf>
    <xf numFmtId="8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4" fontId="27" fillId="0" borderId="0" xfId="0" applyNumberFormat="1" applyFont="1" applyAlignment="1">
      <alignment horizontal="center" vertical="center"/>
    </xf>
    <xf numFmtId="8" fontId="23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55" fillId="0" borderId="10" xfId="0" applyFont="1" applyBorder="1" applyAlignment="1">
      <alignment horizontal="left" vertical="center"/>
    </xf>
    <xf numFmtId="0" fontId="58" fillId="0" borderId="10" xfId="0" applyFont="1" applyBorder="1" applyAlignment="1">
      <alignment horizontal="left" vertical="center"/>
    </xf>
    <xf numFmtId="0" fontId="60" fillId="0" borderId="10" xfId="0" applyFont="1" applyBorder="1" applyAlignment="1">
      <alignment vertical="center"/>
    </xf>
    <xf numFmtId="0" fontId="60" fillId="0" borderId="10" xfId="0" applyFont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54" fillId="0" borderId="11" xfId="0" applyFont="1" applyBorder="1" applyAlignment="1">
      <alignment vertical="center"/>
    </xf>
    <xf numFmtId="0" fontId="74" fillId="0" borderId="10" xfId="0" applyFont="1" applyFill="1" applyBorder="1" applyAlignment="1">
      <alignment horizontal="left" vertical="center"/>
    </xf>
    <xf numFmtId="0" fontId="25" fillId="0" borderId="0" xfId="0" applyFont="1" applyFill="1" applyAlignment="1">
      <alignment vertical="center"/>
    </xf>
    <xf numFmtId="0" fontId="24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vertical="center"/>
    </xf>
    <xf numFmtId="0" fontId="74" fillId="0" borderId="10" xfId="0" applyFont="1" applyFill="1" applyBorder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10" xfId="0" applyFont="1" applyBorder="1" applyAlignment="1">
      <alignment vertical="center"/>
    </xf>
    <xf numFmtId="0" fontId="77" fillId="0" borderId="10" xfId="0" applyFont="1" applyBorder="1" applyAlignment="1">
      <alignment horizontal="left" vertical="center"/>
    </xf>
    <xf numFmtId="0" fontId="77" fillId="0" borderId="0" xfId="0" applyFont="1" applyAlignment="1">
      <alignment vertical="center"/>
    </xf>
    <xf numFmtId="0" fontId="77" fillId="0" borderId="10" xfId="0" applyFont="1" applyBorder="1" applyAlignment="1">
      <alignment vertical="center"/>
    </xf>
    <xf numFmtId="0" fontId="51" fillId="0" borderId="0" xfId="0" applyFont="1" applyBorder="1" applyAlignment="1">
      <alignment vertical="center" textRotation="90"/>
    </xf>
    <xf numFmtId="0" fontId="25" fillId="0" borderId="0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Border="1" applyAlignment="1">
      <alignment vertical="center"/>
    </xf>
    <xf numFmtId="0" fontId="65" fillId="0" borderId="0" xfId="0" applyFont="1" applyBorder="1" applyAlignment="1">
      <alignment horizontal="center" vertical="center" textRotation="90"/>
    </xf>
    <xf numFmtId="0" fontId="55" fillId="0" borderId="0" xfId="0" applyFont="1" applyBorder="1" applyAlignment="1">
      <alignment horizontal="left" vertical="center"/>
    </xf>
    <xf numFmtId="0" fontId="74" fillId="0" borderId="10" xfId="0" applyFont="1" applyBorder="1" applyAlignment="1">
      <alignment vertical="center"/>
    </xf>
    <xf numFmtId="0" fontId="73" fillId="0" borderId="0" xfId="0" applyFont="1" applyFill="1" applyBorder="1" applyAlignment="1">
      <alignment horizontal="center" vertical="center" textRotation="90"/>
    </xf>
    <xf numFmtId="0" fontId="74" fillId="0" borderId="0" xfId="0" applyFont="1" applyFill="1" applyBorder="1" applyAlignment="1">
      <alignment horizontal="left" vertical="center"/>
    </xf>
    <xf numFmtId="0" fontId="66" fillId="0" borderId="0" xfId="0" applyFont="1" applyBorder="1" applyAlignment="1">
      <alignment horizontal="center" vertical="center" textRotation="90"/>
    </xf>
    <xf numFmtId="0" fontId="53" fillId="0" borderId="11" xfId="0" applyFont="1" applyBorder="1" applyAlignment="1">
      <alignment vertical="center"/>
    </xf>
    <xf numFmtId="0" fontId="53" fillId="0" borderId="11" xfId="0" applyFont="1" applyFill="1" applyBorder="1" applyAlignment="1">
      <alignment horizontal="left" vertical="center"/>
    </xf>
    <xf numFmtId="0" fontId="53" fillId="0" borderId="11" xfId="0" applyFont="1" applyBorder="1" applyAlignment="1">
      <alignment horizontal="left" vertical="center"/>
    </xf>
    <xf numFmtId="0" fontId="52" fillId="0" borderId="0" xfId="0" applyFont="1" applyBorder="1" applyAlignment="1">
      <alignment vertical="center" textRotation="90"/>
    </xf>
    <xf numFmtId="0" fontId="73" fillId="0" borderId="0" xfId="0" applyFont="1" applyBorder="1" applyAlignment="1">
      <alignment horizontal="center" vertical="center" textRotation="90"/>
    </xf>
    <xf numFmtId="0" fontId="74" fillId="0" borderId="13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23" fillId="0" borderId="10" xfId="0" applyFont="1" applyBorder="1" applyAlignment="1">
      <alignment horizontal="left" vertical="center"/>
    </xf>
    <xf numFmtId="0" fontId="23" fillId="0" borderId="10" xfId="0" applyFont="1" applyFill="1" applyBorder="1" applyAlignment="1">
      <alignment horizontal="left" vertical="center"/>
    </xf>
    <xf numFmtId="0" fontId="50" fillId="0" borderId="13" xfId="0" applyFont="1" applyBorder="1" applyAlignment="1">
      <alignment horizontal="left" vertical="center"/>
    </xf>
    <xf numFmtId="0" fontId="23" fillId="0" borderId="10" xfId="0" applyFont="1" applyBorder="1" applyAlignment="1" applyProtection="1">
      <alignment horizontal="center" vertical="center"/>
    </xf>
    <xf numFmtId="1" fontId="23" fillId="0" borderId="10" xfId="0" applyNumberFormat="1" applyFont="1" applyBorder="1" applyAlignment="1" applyProtection="1">
      <alignment horizontal="center" vertical="center"/>
    </xf>
    <xf numFmtId="1" fontId="23" fillId="0" borderId="10" xfId="0" applyNumberFormat="1" applyFont="1" applyFill="1" applyBorder="1" applyAlignment="1" applyProtection="1">
      <alignment horizontal="center" vertical="center"/>
    </xf>
    <xf numFmtId="164" fontId="23" fillId="0" borderId="10" xfId="0" applyNumberFormat="1" applyFont="1" applyFill="1" applyBorder="1" applyAlignment="1" applyProtection="1">
      <alignment horizontal="center" vertical="center"/>
    </xf>
    <xf numFmtId="164" fontId="23" fillId="0" borderId="10" xfId="0" applyNumberFormat="1" applyFont="1" applyBorder="1" applyAlignment="1" applyProtection="1">
      <alignment horizontal="center" vertical="center"/>
    </xf>
    <xf numFmtId="0" fontId="50" fillId="0" borderId="13" xfId="0" applyFont="1" applyBorder="1" applyAlignment="1" applyProtection="1">
      <alignment horizontal="center" vertical="center"/>
    </xf>
    <xf numFmtId="1" fontId="50" fillId="0" borderId="13" xfId="0" applyNumberFormat="1" applyFont="1" applyBorder="1" applyAlignment="1" applyProtection="1">
      <alignment horizontal="center" vertical="center"/>
    </xf>
    <xf numFmtId="6" fontId="23" fillId="0" borderId="10" xfId="0" applyNumberFormat="1" applyFont="1" applyFill="1" applyBorder="1" applyAlignment="1" applyProtection="1">
      <alignment horizontal="center" vertical="center"/>
    </xf>
    <xf numFmtId="0" fontId="23" fillId="0" borderId="10" xfId="0" applyFont="1" applyFill="1" applyBorder="1" applyAlignment="1" applyProtection="1">
      <alignment horizontal="center" vertical="center"/>
    </xf>
    <xf numFmtId="8" fontId="23" fillId="0" borderId="10" xfId="0" applyNumberFormat="1" applyFont="1" applyFill="1" applyBorder="1" applyAlignment="1" applyProtection="1">
      <alignment horizontal="center" vertical="center"/>
    </xf>
    <xf numFmtId="0" fontId="74" fillId="0" borderId="13" xfId="0" applyFont="1" applyFill="1" applyBorder="1" applyAlignment="1" applyProtection="1">
      <alignment horizontal="center" vertical="center"/>
    </xf>
    <xf numFmtId="0" fontId="60" fillId="0" borderId="10" xfId="0" applyFont="1" applyBorder="1" applyAlignment="1" applyProtection="1">
      <alignment horizontal="center" vertical="center"/>
    </xf>
    <xf numFmtId="1" fontId="60" fillId="0" borderId="10" xfId="0" applyNumberFormat="1" applyFont="1" applyBorder="1" applyAlignment="1" applyProtection="1">
      <alignment horizontal="center" vertical="center"/>
    </xf>
    <xf numFmtId="2" fontId="60" fillId="0" borderId="10" xfId="0" applyNumberFormat="1" applyFont="1" applyBorder="1" applyAlignment="1" applyProtection="1">
      <alignment horizontal="center" vertical="center"/>
    </xf>
    <xf numFmtId="164" fontId="60" fillId="0" borderId="10" xfId="0" applyNumberFormat="1" applyFont="1" applyBorder="1" applyAlignment="1" applyProtection="1">
      <alignment horizontal="center" vertical="center"/>
    </xf>
    <xf numFmtId="0" fontId="26" fillId="0" borderId="13" xfId="0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77" fillId="0" borderId="10" xfId="0" applyFont="1" applyBorder="1" applyAlignment="1" applyProtection="1">
      <alignment horizontal="center" vertical="center"/>
    </xf>
    <xf numFmtId="1" fontId="77" fillId="0" borderId="10" xfId="0" applyNumberFormat="1" applyFont="1" applyBorder="1" applyAlignment="1" applyProtection="1">
      <alignment horizontal="center" vertical="center"/>
    </xf>
    <xf numFmtId="2" fontId="77" fillId="0" borderId="10" xfId="0" applyNumberFormat="1" applyFont="1" applyBorder="1" applyAlignment="1" applyProtection="1">
      <alignment horizontal="center" vertical="center"/>
    </xf>
    <xf numFmtId="164" fontId="77" fillId="0" borderId="10" xfId="0" applyNumberFormat="1" applyFont="1" applyBorder="1" applyAlignment="1" applyProtection="1">
      <alignment horizontal="center" vertical="center"/>
    </xf>
    <xf numFmtId="0" fontId="77" fillId="0" borderId="10" xfId="0" quotePrefix="1" applyFont="1" applyBorder="1" applyAlignment="1" applyProtection="1">
      <alignment horizontal="center" vertical="center"/>
    </xf>
    <xf numFmtId="9" fontId="77" fillId="0" borderId="10" xfId="0" applyNumberFormat="1" applyFont="1" applyBorder="1" applyAlignment="1" applyProtection="1">
      <alignment horizontal="center" vertical="center"/>
    </xf>
    <xf numFmtId="1" fontId="77" fillId="0" borderId="10" xfId="0" applyNumberFormat="1" applyFont="1" applyFill="1" applyBorder="1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0" fontId="30" fillId="0" borderId="13" xfId="0" applyFont="1" applyBorder="1" applyAlignment="1" applyProtection="1">
      <alignment horizontal="center" vertical="center"/>
    </xf>
    <xf numFmtId="0" fontId="55" fillId="0" borderId="10" xfId="0" applyFont="1" applyBorder="1" applyAlignment="1" applyProtection="1">
      <alignment horizontal="center" vertical="center"/>
    </xf>
    <xf numFmtId="1" fontId="55" fillId="0" borderId="10" xfId="0" applyNumberFormat="1" applyFont="1" applyBorder="1" applyAlignment="1" applyProtection="1">
      <alignment horizontal="center" vertical="center"/>
    </xf>
    <xf numFmtId="2" fontId="55" fillId="0" borderId="10" xfId="0" applyNumberFormat="1" applyFont="1" applyBorder="1" applyAlignment="1" applyProtection="1">
      <alignment horizontal="center" vertical="center"/>
    </xf>
    <xf numFmtId="0" fontId="56" fillId="0" borderId="10" xfId="0" applyFont="1" applyBorder="1" applyAlignment="1" applyProtection="1">
      <alignment horizontal="center" vertical="center"/>
    </xf>
    <xf numFmtId="164" fontId="55" fillId="0" borderId="10" xfId="0" applyNumberFormat="1" applyFont="1" applyBorder="1" applyAlignment="1" applyProtection="1">
      <alignment horizontal="center" vertical="center"/>
    </xf>
    <xf numFmtId="0" fontId="58" fillId="0" borderId="10" xfId="0" applyFont="1" applyBorder="1" applyAlignment="1" applyProtection="1">
      <alignment horizontal="center" vertical="center"/>
    </xf>
    <xf numFmtId="1" fontId="58" fillId="0" borderId="11" xfId="0" applyNumberFormat="1" applyFont="1" applyBorder="1" applyAlignment="1" applyProtection="1">
      <alignment horizontal="center" vertical="center"/>
    </xf>
    <xf numFmtId="1" fontId="58" fillId="0" borderId="10" xfId="0" applyNumberFormat="1" applyFont="1" applyBorder="1" applyAlignment="1" applyProtection="1">
      <alignment horizontal="center" vertical="center"/>
    </xf>
    <xf numFmtId="2" fontId="58" fillId="0" borderId="10" xfId="0" applyNumberFormat="1" applyFont="1" applyBorder="1" applyAlignment="1" applyProtection="1">
      <alignment horizontal="center" vertical="center"/>
    </xf>
    <xf numFmtId="164" fontId="58" fillId="0" borderId="10" xfId="0" applyNumberFormat="1" applyFont="1" applyBorder="1" applyAlignment="1" applyProtection="1">
      <alignment horizontal="center" vertical="center"/>
    </xf>
    <xf numFmtId="10" fontId="58" fillId="0" borderId="10" xfId="38" applyNumberFormat="1" applyFont="1" applyBorder="1" applyAlignment="1" applyProtection="1">
      <alignment horizontal="center" vertical="center"/>
    </xf>
    <xf numFmtId="0" fontId="55" fillId="0" borderId="0" xfId="0" applyFont="1" applyBorder="1" applyAlignment="1" applyProtection="1">
      <alignment horizontal="center" vertical="center"/>
    </xf>
    <xf numFmtId="1" fontId="55" fillId="0" borderId="0" xfId="0" applyNumberFormat="1" applyFont="1" applyBorder="1" applyAlignment="1" applyProtection="1">
      <alignment horizontal="center" vertical="center"/>
    </xf>
    <xf numFmtId="0" fontId="26" fillId="0" borderId="10" xfId="0" applyFont="1" applyBorder="1" applyAlignment="1" applyProtection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</xf>
    <xf numFmtId="164" fontId="26" fillId="0" borderId="10" xfId="0" applyNumberFormat="1" applyFont="1" applyBorder="1" applyAlignment="1" applyProtection="1">
      <alignment horizontal="center" vertical="center"/>
    </xf>
    <xf numFmtId="0" fontId="26" fillId="0" borderId="10" xfId="0" quotePrefix="1" applyFont="1" applyBorder="1" applyAlignment="1" applyProtection="1">
      <alignment horizontal="center" vertical="center"/>
    </xf>
    <xf numFmtId="2" fontId="26" fillId="0" borderId="10" xfId="0" applyNumberFormat="1" applyFont="1" applyBorder="1" applyAlignment="1" applyProtection="1">
      <alignment horizontal="center" vertical="center"/>
    </xf>
    <xf numFmtId="9" fontId="26" fillId="0" borderId="10" xfId="0" applyNumberFormat="1" applyFont="1" applyBorder="1" applyAlignment="1" applyProtection="1">
      <alignment horizontal="center" vertical="center"/>
    </xf>
    <xf numFmtId="1" fontId="26" fillId="0" borderId="10" xfId="0" applyNumberFormat="1" applyFont="1" applyFill="1" applyBorder="1" applyAlignment="1" applyProtection="1">
      <alignment horizontal="center" vertical="center"/>
    </xf>
    <xf numFmtId="0" fontId="26" fillId="0" borderId="10" xfId="0" applyFont="1" applyFill="1" applyBorder="1" applyAlignment="1" applyProtection="1">
      <alignment horizontal="center" vertical="center"/>
    </xf>
    <xf numFmtId="0" fontId="54" fillId="0" borderId="10" xfId="0" applyFont="1" applyBorder="1" applyAlignment="1" applyProtection="1">
      <alignment horizontal="center" vertical="center"/>
    </xf>
    <xf numFmtId="0" fontId="26" fillId="0" borderId="0" xfId="0" applyFont="1" applyBorder="1" applyAlignment="1" applyProtection="1">
      <alignment horizontal="center" vertical="center"/>
    </xf>
    <xf numFmtId="2" fontId="26" fillId="0" borderId="0" xfId="0" applyNumberFormat="1" applyFont="1" applyBorder="1" applyAlignment="1" applyProtection="1">
      <alignment horizontal="center" vertical="center"/>
    </xf>
    <xf numFmtId="0" fontId="53" fillId="0" borderId="10" xfId="0" applyFont="1" applyBorder="1" applyAlignment="1" applyProtection="1">
      <alignment horizontal="center" vertical="center"/>
    </xf>
    <xf numFmtId="1" fontId="53" fillId="0" borderId="10" xfId="0" applyNumberFormat="1" applyFont="1" applyBorder="1" applyAlignment="1" applyProtection="1">
      <alignment horizontal="center" vertical="center"/>
    </xf>
    <xf numFmtId="2" fontId="53" fillId="0" borderId="10" xfId="0" applyNumberFormat="1" applyFont="1" applyBorder="1" applyAlignment="1" applyProtection="1">
      <alignment horizontal="center" vertical="center"/>
    </xf>
    <xf numFmtId="164" fontId="53" fillId="0" borderId="10" xfId="0" applyNumberFormat="1" applyFont="1" applyBorder="1" applyAlignment="1" applyProtection="1">
      <alignment horizontal="center" vertical="center"/>
    </xf>
    <xf numFmtId="0" fontId="53" fillId="0" borderId="10" xfId="0" quotePrefix="1" applyFont="1" applyBorder="1" applyAlignment="1" applyProtection="1">
      <alignment horizontal="center" vertical="center"/>
    </xf>
    <xf numFmtId="9" fontId="53" fillId="0" borderId="10" xfId="0" applyNumberFormat="1" applyFont="1" applyBorder="1" applyAlignment="1" applyProtection="1">
      <alignment horizontal="center" vertical="center"/>
    </xf>
    <xf numFmtId="9" fontId="53" fillId="0" borderId="10" xfId="42" applyFont="1" applyBorder="1" applyAlignment="1" applyProtection="1">
      <alignment horizontal="center" vertical="center"/>
    </xf>
    <xf numFmtId="0" fontId="53" fillId="0" borderId="10" xfId="0" applyFont="1" applyFill="1" applyBorder="1" applyAlignment="1" applyProtection="1">
      <alignment horizontal="center" vertical="center"/>
    </xf>
    <xf numFmtId="6" fontId="53" fillId="0" borderId="10" xfId="0" applyNumberFormat="1" applyFont="1" applyFill="1" applyBorder="1" applyAlignment="1" applyProtection="1">
      <alignment horizontal="center" vertical="center"/>
    </xf>
    <xf numFmtId="2" fontId="53" fillId="0" borderId="10" xfId="0" applyNumberFormat="1" applyFont="1" applyFill="1" applyBorder="1" applyAlignment="1" applyProtection="1">
      <alignment horizontal="center" vertical="center"/>
    </xf>
    <xf numFmtId="0" fontId="26" fillId="0" borderId="0" xfId="0" applyFont="1" applyFill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74" fillId="0" borderId="10" xfId="0" applyFont="1" applyFill="1" applyBorder="1" applyAlignment="1" applyProtection="1">
      <alignment horizontal="center" vertical="center"/>
    </xf>
    <xf numFmtId="1" fontId="74" fillId="0" borderId="10" xfId="0" applyNumberFormat="1" applyFont="1" applyFill="1" applyBorder="1" applyAlignment="1" applyProtection="1">
      <alignment horizontal="center" vertical="center"/>
    </xf>
    <xf numFmtId="2" fontId="74" fillId="0" borderId="10" xfId="0" applyNumberFormat="1" applyFont="1" applyFill="1" applyBorder="1" applyAlignment="1" applyProtection="1">
      <alignment horizontal="center" vertical="center"/>
    </xf>
    <xf numFmtId="164" fontId="74" fillId="0" borderId="10" xfId="0" applyNumberFormat="1" applyFont="1" applyFill="1" applyBorder="1" applyAlignment="1" applyProtection="1">
      <alignment horizontal="center" vertical="center"/>
    </xf>
    <xf numFmtId="0" fontId="74" fillId="0" borderId="10" xfId="0" quotePrefix="1" applyFont="1" applyBorder="1" applyAlignment="1" applyProtection="1">
      <alignment horizontal="center" vertical="center"/>
    </xf>
    <xf numFmtId="9" fontId="74" fillId="0" borderId="10" xfId="42" applyFont="1" applyFill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74" fillId="0" borderId="10" xfId="0" quotePrefix="1" applyFont="1" applyFill="1" applyBorder="1" applyAlignment="1" applyProtection="1">
      <alignment horizontal="center" vertical="center"/>
    </xf>
    <xf numFmtId="0" fontId="76" fillId="0" borderId="10" xfId="0" applyFont="1" applyFill="1" applyBorder="1" applyAlignment="1" applyProtection="1">
      <alignment horizontal="center" vertical="center"/>
    </xf>
    <xf numFmtId="9" fontId="74" fillId="0" borderId="10" xfId="38" applyFont="1" applyFill="1" applyBorder="1" applyAlignment="1" applyProtection="1">
      <alignment horizontal="center" vertical="center"/>
    </xf>
    <xf numFmtId="0" fontId="74" fillId="0" borderId="0" xfId="0" applyFont="1" applyFill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vertical="center"/>
      <protection locked="0"/>
    </xf>
    <xf numFmtId="8" fontId="31" fillId="0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vertical="center"/>
      <protection locked="0"/>
    </xf>
    <xf numFmtId="164" fontId="25" fillId="0" borderId="0" xfId="0" applyNumberFormat="1" applyFont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51" fillId="0" borderId="0" xfId="0" applyFont="1" applyBorder="1" applyAlignment="1" applyProtection="1">
      <alignment vertical="center" textRotation="90"/>
      <protection locked="0"/>
    </xf>
    <xf numFmtId="0" fontId="72" fillId="0" borderId="0" xfId="0" applyFont="1" applyAlignment="1" applyProtection="1">
      <alignment vertical="center"/>
      <protection locked="0"/>
    </xf>
    <xf numFmtId="0" fontId="51" fillId="0" borderId="0" xfId="0" applyFont="1" applyBorder="1" applyAlignment="1" applyProtection="1">
      <alignment horizontal="center" vertical="center" textRotation="90"/>
      <protection locked="0"/>
    </xf>
    <xf numFmtId="0" fontId="25" fillId="54" borderId="0" xfId="0" applyFont="1" applyFill="1" applyBorder="1" applyAlignment="1" applyProtection="1">
      <alignment vertical="center"/>
      <protection locked="0"/>
    </xf>
    <xf numFmtId="0" fontId="25" fillId="54" borderId="0" xfId="0" applyFont="1" applyFill="1" applyAlignment="1" applyProtection="1">
      <alignment vertical="center"/>
      <protection locked="0"/>
    </xf>
    <xf numFmtId="0" fontId="25" fillId="54" borderId="0" xfId="0" applyFont="1" applyFill="1" applyAlignment="1">
      <alignment vertical="center"/>
    </xf>
    <xf numFmtId="0" fontId="28" fillId="0" borderId="0" xfId="0" applyFont="1"/>
    <xf numFmtId="0" fontId="23" fillId="0" borderId="10" xfId="0" applyFont="1" applyBorder="1" applyAlignment="1">
      <alignment vertical="center"/>
    </xf>
    <xf numFmtId="0" fontId="81" fillId="0" borderId="0" xfId="0" applyFont="1" applyBorder="1" applyAlignment="1">
      <alignment horizontal="center" vertical="center" textRotation="90"/>
    </xf>
    <xf numFmtId="0" fontId="77" fillId="0" borderId="0" xfId="0" applyFont="1" applyBorder="1" applyAlignment="1">
      <alignment horizontal="left" vertical="center"/>
    </xf>
    <xf numFmtId="0" fontId="77" fillId="0" borderId="0" xfId="0" quotePrefix="1" applyFont="1" applyBorder="1" applyAlignment="1" applyProtection="1">
      <alignment horizontal="center" vertical="center"/>
    </xf>
    <xf numFmtId="164" fontId="77" fillId="0" borderId="26" xfId="0" applyNumberFormat="1" applyFont="1" applyBorder="1" applyAlignment="1" applyProtection="1">
      <alignment horizontal="center" vertical="center"/>
    </xf>
    <xf numFmtId="0" fontId="89" fillId="0" borderId="0" xfId="0" applyFont="1" applyBorder="1" applyAlignment="1" applyProtection="1">
      <alignment horizontal="center" vertical="center" textRotation="90"/>
      <protection locked="0"/>
    </xf>
    <xf numFmtId="164" fontId="23" fillId="0" borderId="0" xfId="0" applyNumberFormat="1" applyFont="1" applyFill="1" applyAlignment="1">
      <alignment vertical="center"/>
    </xf>
    <xf numFmtId="1" fontId="53" fillId="0" borderId="10" xfId="0" applyNumberFormat="1" applyFont="1" applyFill="1" applyBorder="1" applyAlignment="1" applyProtection="1">
      <alignment horizontal="center" vertical="center"/>
    </xf>
    <xf numFmtId="0" fontId="26" fillId="0" borderId="0" xfId="0" applyFont="1" applyAlignment="1">
      <alignment horizontal="center" vertical="center"/>
    </xf>
    <xf numFmtId="0" fontId="28" fillId="0" borderId="0" xfId="0" applyFont="1" applyProtection="1">
      <protection locked="0"/>
    </xf>
    <xf numFmtId="0" fontId="26" fillId="0" borderId="34" xfId="0" applyFont="1" applyFill="1" applyBorder="1" applyAlignment="1" applyProtection="1">
      <alignment horizontal="left" vertical="center"/>
      <protection locked="0"/>
    </xf>
    <xf numFmtId="0" fontId="28" fillId="0" borderId="35" xfId="0" applyFont="1" applyFill="1" applyBorder="1" applyAlignment="1" applyProtection="1">
      <alignment horizontal="center" vertical="center"/>
      <protection locked="0"/>
    </xf>
    <xf numFmtId="0" fontId="26" fillId="0" borderId="36" xfId="0" applyFont="1" applyFill="1" applyBorder="1" applyAlignment="1" applyProtection="1">
      <alignment horizontal="center" vertical="center"/>
      <protection locked="0"/>
    </xf>
    <xf numFmtId="0" fontId="26" fillId="0" borderId="30" xfId="0" applyFont="1" applyFill="1" applyBorder="1" applyAlignment="1" applyProtection="1">
      <alignment horizontal="left" vertical="center"/>
      <protection locked="0"/>
    </xf>
    <xf numFmtId="0" fontId="28" fillId="0" borderId="10" xfId="0" applyFont="1" applyFill="1" applyBorder="1" applyAlignment="1" applyProtection="1">
      <alignment horizontal="center" vertical="center"/>
      <protection locked="0"/>
    </xf>
    <xf numFmtId="1" fontId="26" fillId="0" borderId="31" xfId="0" applyNumberFormat="1" applyFont="1" applyFill="1" applyBorder="1" applyAlignment="1" applyProtection="1">
      <alignment horizontal="center" vertical="center"/>
      <protection locked="0"/>
    </xf>
    <xf numFmtId="9" fontId="26" fillId="0" borderId="31" xfId="42" applyFont="1" applyFill="1" applyBorder="1" applyAlignment="1" applyProtection="1">
      <alignment horizontal="center" vertical="center"/>
      <protection locked="0"/>
    </xf>
    <xf numFmtId="0" fontId="26" fillId="0" borderId="30" xfId="0" applyFont="1" applyFill="1" applyBorder="1" applyAlignment="1" applyProtection="1">
      <alignment vertical="center"/>
      <protection locked="0"/>
    </xf>
    <xf numFmtId="0" fontId="28" fillId="0" borderId="38" xfId="0" applyFont="1" applyFill="1" applyBorder="1" applyAlignment="1" applyProtection="1">
      <alignment horizontal="center" vertical="center"/>
      <protection locked="0"/>
    </xf>
    <xf numFmtId="164" fontId="26" fillId="0" borderId="39" xfId="0" applyNumberFormat="1" applyFont="1" applyFill="1" applyBorder="1" applyAlignment="1" applyProtection="1">
      <alignment horizontal="center" vertical="center"/>
      <protection locked="0"/>
    </xf>
    <xf numFmtId="0" fontId="26" fillId="0" borderId="30" xfId="0" applyFont="1" applyBorder="1" applyAlignment="1" applyProtection="1">
      <alignment horizontal="left" vertical="center"/>
      <protection locked="0"/>
    </xf>
    <xf numFmtId="0" fontId="28" fillId="0" borderId="10" xfId="0" applyFont="1" applyBorder="1" applyAlignment="1" applyProtection="1">
      <alignment horizontal="center" vertical="center"/>
      <protection locked="0"/>
    </xf>
    <xf numFmtId="2" fontId="26" fillId="0" borderId="31" xfId="0" applyNumberFormat="1" applyFont="1" applyFill="1" applyBorder="1" applyAlignment="1" applyProtection="1">
      <alignment horizontal="center" vertical="center"/>
      <protection locked="0"/>
    </xf>
    <xf numFmtId="0" fontId="26" fillId="0" borderId="31" xfId="0" applyFont="1" applyBorder="1" applyAlignment="1" applyProtection="1">
      <alignment horizontal="center" vertical="center"/>
      <protection locked="0"/>
    </xf>
    <xf numFmtId="2" fontId="26" fillId="0" borderId="31" xfId="0" applyNumberFormat="1" applyFont="1" applyBorder="1" applyAlignment="1" applyProtection="1">
      <alignment horizontal="center" vertical="center"/>
      <protection locked="0"/>
    </xf>
    <xf numFmtId="0" fontId="28" fillId="0" borderId="10" xfId="87" applyFont="1" applyBorder="1" applyAlignment="1" applyProtection="1">
      <alignment horizontal="center" vertical="center"/>
      <protection locked="0"/>
    </xf>
    <xf numFmtId="0" fontId="28" fillId="0" borderId="10" xfId="0" quotePrefix="1" applyFont="1" applyBorder="1" applyAlignment="1" applyProtection="1">
      <alignment horizontal="center" vertical="center"/>
      <protection locked="0"/>
    </xf>
    <xf numFmtId="164" fontId="26" fillId="0" borderId="31" xfId="0" applyNumberFormat="1" applyFont="1" applyBorder="1" applyAlignment="1" applyProtection="1">
      <alignment horizontal="center" vertical="center"/>
      <protection locked="0"/>
    </xf>
    <xf numFmtId="1" fontId="26" fillId="0" borderId="31" xfId="0" applyNumberFormat="1" applyFont="1" applyBorder="1" applyAlignment="1" applyProtection="1">
      <alignment horizontal="center" vertical="center"/>
      <protection locked="0"/>
    </xf>
    <xf numFmtId="9" fontId="26" fillId="0" borderId="31" xfId="42" applyFont="1" applyBorder="1" applyAlignment="1" applyProtection="1">
      <alignment horizontal="center" vertical="center"/>
      <protection locked="0"/>
    </xf>
    <xf numFmtId="0" fontId="26" fillId="0" borderId="30" xfId="0" applyFont="1" applyBorder="1" applyAlignment="1" applyProtection="1">
      <alignment vertical="center"/>
      <protection locked="0"/>
    </xf>
    <xf numFmtId="8" fontId="26" fillId="0" borderId="31" xfId="0" applyNumberFormat="1" applyFont="1" applyBorder="1" applyAlignment="1" applyProtection="1">
      <alignment horizontal="center" vertical="center"/>
      <protection locked="0"/>
    </xf>
    <xf numFmtId="9" fontId="26" fillId="0" borderId="31" xfId="0" applyNumberFormat="1" applyFont="1" applyBorder="1" applyAlignment="1" applyProtection="1">
      <alignment horizontal="center" vertical="center"/>
      <protection locked="0"/>
    </xf>
    <xf numFmtId="9" fontId="26" fillId="0" borderId="31" xfId="38" applyFont="1" applyFill="1" applyBorder="1" applyAlignment="1" applyProtection="1">
      <alignment horizontal="center" vertical="center"/>
      <protection locked="0"/>
    </xf>
    <xf numFmtId="0" fontId="26" fillId="0" borderId="34" xfId="0" applyFont="1" applyBorder="1" applyAlignment="1" applyProtection="1">
      <alignment horizontal="left" vertical="center"/>
      <protection locked="0"/>
    </xf>
    <xf numFmtId="0" fontId="92" fillId="0" borderId="35" xfId="0" applyFont="1" applyBorder="1" applyAlignment="1" applyProtection="1">
      <alignment horizontal="center" vertical="center"/>
      <protection locked="0"/>
    </xf>
    <xf numFmtId="9" fontId="26" fillId="0" borderId="36" xfId="42" applyFont="1" applyBorder="1" applyAlignment="1" applyProtection="1">
      <alignment horizontal="center" vertical="center"/>
      <protection locked="0"/>
    </xf>
    <xf numFmtId="0" fontId="92" fillId="0" borderId="10" xfId="0" applyFont="1" applyBorder="1" applyAlignment="1" applyProtection="1">
      <alignment horizontal="center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0" fontId="92" fillId="0" borderId="33" xfId="0" applyFont="1" applyBorder="1" applyAlignment="1" applyProtection="1">
      <alignment horizontal="center" vertical="center"/>
      <protection locked="0"/>
    </xf>
    <xf numFmtId="0" fontId="26" fillId="0" borderId="0" xfId="0" applyFont="1" applyBorder="1" applyAlignment="1">
      <alignment horizontal="left" vertical="center"/>
    </xf>
    <xf numFmtId="0" fontId="92" fillId="0" borderId="0" xfId="0" applyFont="1" applyBorder="1" applyAlignment="1">
      <alignment horizontal="center" vertical="center"/>
    </xf>
    <xf numFmtId="9" fontId="25" fillId="0" borderId="0" xfId="38" applyFont="1" applyBorder="1" applyAlignment="1">
      <alignment horizontal="center" vertical="center"/>
    </xf>
    <xf numFmtId="0" fontId="28" fillId="0" borderId="0" xfId="0" applyFont="1" applyFill="1"/>
    <xf numFmtId="2" fontId="26" fillId="0" borderId="0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164" fontId="26" fillId="0" borderId="0" xfId="0" applyNumberFormat="1" applyFont="1" applyBorder="1" applyAlignment="1" applyProtection="1">
      <alignment horizontal="center" vertical="center"/>
      <protection locked="0"/>
    </xf>
    <xf numFmtId="164" fontId="83" fillId="0" borderId="0" xfId="0" applyNumberFormat="1" applyFont="1" applyFill="1" applyBorder="1" applyAlignment="1" applyProtection="1">
      <alignment horizontal="center" vertical="center"/>
    </xf>
    <xf numFmtId="166" fontId="26" fillId="0" borderId="0" xfId="0" applyNumberFormat="1" applyFont="1" applyFill="1" applyBorder="1" applyAlignment="1" applyProtection="1">
      <alignment horizontal="center" vertical="center"/>
      <protection locked="0"/>
    </xf>
    <xf numFmtId="1" fontId="23" fillId="0" borderId="0" xfId="0" applyNumberFormat="1" applyFont="1" applyAlignment="1">
      <alignment vertical="center"/>
    </xf>
    <xf numFmtId="2" fontId="25" fillId="0" borderId="0" xfId="0" applyNumberFormat="1" applyFont="1" applyAlignment="1" applyProtection="1">
      <alignment vertical="center"/>
      <protection locked="0"/>
    </xf>
    <xf numFmtId="1" fontId="72" fillId="0" borderId="0" xfId="0" applyNumberFormat="1" applyFont="1" applyAlignment="1" applyProtection="1">
      <alignment vertical="center"/>
      <protection locked="0"/>
    </xf>
    <xf numFmtId="0" fontId="26" fillId="0" borderId="37" xfId="0" applyFont="1" applyBorder="1" applyAlignment="1" applyProtection="1">
      <alignment horizontal="left" vertical="center"/>
      <protection locked="0"/>
    </xf>
    <xf numFmtId="6" fontId="26" fillId="0" borderId="39" xfId="0" applyNumberFormat="1" applyFont="1" applyBorder="1" applyAlignment="1" applyProtection="1">
      <alignment horizontal="center" vertical="center"/>
      <protection locked="0"/>
    </xf>
    <xf numFmtId="0" fontId="60" fillId="0" borderId="10" xfId="0" quotePrefix="1" applyFont="1" applyBorder="1" applyAlignment="1" applyProtection="1">
      <alignment horizontal="center" vertical="center"/>
    </xf>
    <xf numFmtId="0" fontId="60" fillId="0" borderId="0" xfId="0" applyFont="1" applyAlignment="1">
      <alignment vertical="center"/>
    </xf>
    <xf numFmtId="164" fontId="26" fillId="0" borderId="10" xfId="0" applyNumberFormat="1" applyFont="1" applyFill="1" applyBorder="1" applyAlignment="1" applyProtection="1">
      <alignment horizontal="center" vertical="center"/>
    </xf>
    <xf numFmtId="0" fontId="83" fillId="0" borderId="0" xfId="0" applyFont="1" applyFill="1" applyAlignment="1">
      <alignment vertical="center"/>
    </xf>
    <xf numFmtId="1" fontId="23" fillId="0" borderId="0" xfId="0" applyNumberFormat="1" applyFont="1" applyFill="1" applyAlignment="1">
      <alignment vertical="center"/>
    </xf>
    <xf numFmtId="0" fontId="23" fillId="0" borderId="10" xfId="0" applyFont="1" applyBorder="1" applyAlignment="1">
      <alignment horizontal="center" vertical="center"/>
    </xf>
    <xf numFmtId="1" fontId="23" fillId="0" borderId="10" xfId="0" applyNumberFormat="1" applyFont="1" applyBorder="1" applyAlignment="1">
      <alignment horizontal="center" vertical="center"/>
    </xf>
    <xf numFmtId="6" fontId="23" fillId="0" borderId="10" xfId="0" applyNumberFormat="1" applyFont="1" applyBorder="1" applyAlignment="1">
      <alignment horizontal="center" vertical="center"/>
    </xf>
    <xf numFmtId="0" fontId="73" fillId="0" borderId="0" xfId="0" applyFont="1" applyAlignment="1">
      <alignment horizontal="center" vertical="center" textRotation="90"/>
    </xf>
    <xf numFmtId="0" fontId="74" fillId="0" borderId="13" xfId="0" applyFont="1" applyBorder="1" applyAlignment="1">
      <alignment vertical="center"/>
    </xf>
    <xf numFmtId="0" fontId="74" fillId="0" borderId="13" xfId="0" applyFont="1" applyBorder="1" applyAlignment="1">
      <alignment horizontal="center" vertical="center"/>
    </xf>
    <xf numFmtId="164" fontId="74" fillId="0" borderId="13" xfId="0" applyNumberFormat="1" applyFont="1" applyBorder="1" applyAlignment="1">
      <alignment horizontal="center" vertical="center"/>
    </xf>
    <xf numFmtId="8" fontId="53" fillId="0" borderId="10" xfId="0" applyNumberFormat="1" applyFont="1" applyFill="1" applyBorder="1" applyAlignment="1" applyProtection="1">
      <alignment horizontal="center" vertical="center"/>
    </xf>
    <xf numFmtId="0" fontId="23" fillId="0" borderId="11" xfId="0" applyFont="1" applyBorder="1" applyAlignment="1">
      <alignment vertical="center"/>
    </xf>
    <xf numFmtId="0" fontId="25" fillId="0" borderId="0" xfId="0" applyFont="1" applyFill="1" applyBorder="1" applyAlignment="1" applyProtection="1">
      <alignment vertical="center"/>
      <protection locked="0"/>
    </xf>
    <xf numFmtId="0" fontId="26" fillId="0" borderId="0" xfId="0" applyFont="1" applyFill="1" applyBorder="1" applyAlignment="1" applyProtection="1">
      <alignment vertical="center"/>
      <protection locked="0"/>
    </xf>
    <xf numFmtId="0" fontId="29" fillId="0" borderId="0" xfId="0" applyFont="1" applyAlignment="1">
      <alignment horizontal="center" vertical="center"/>
    </xf>
    <xf numFmtId="0" fontId="88" fillId="0" borderId="0" xfId="0" applyFont="1" applyBorder="1" applyAlignment="1">
      <alignment horizontal="center" vertical="center" textRotation="90"/>
    </xf>
    <xf numFmtId="0" fontId="23" fillId="0" borderId="13" xfId="0" applyFont="1" applyBorder="1" applyAlignment="1">
      <alignment horizontal="left" vertical="center"/>
    </xf>
    <xf numFmtId="0" fontId="83" fillId="54" borderId="0" xfId="0" applyFont="1" applyFill="1" applyAlignment="1">
      <alignment vertical="center"/>
    </xf>
    <xf numFmtId="0" fontId="26" fillId="0" borderId="40" xfId="0" applyFont="1" applyBorder="1" applyAlignment="1">
      <alignment horizontal="left" vertical="center"/>
    </xf>
    <xf numFmtId="0" fontId="26" fillId="0" borderId="42" xfId="0" applyFont="1" applyBorder="1" applyAlignment="1">
      <alignment horizontal="center" vertical="center"/>
    </xf>
    <xf numFmtId="9" fontId="26" fillId="0" borderId="14" xfId="42" applyFont="1" applyBorder="1" applyAlignment="1">
      <alignment horizontal="center" vertical="center"/>
    </xf>
    <xf numFmtId="9" fontId="26" fillId="0" borderId="43" xfId="42" applyFont="1" applyBorder="1" applyAlignment="1">
      <alignment horizontal="center" vertical="center"/>
    </xf>
    <xf numFmtId="0" fontId="26" fillId="0" borderId="30" xfId="0" applyFont="1" applyBorder="1" applyAlignment="1">
      <alignment horizontal="left" vertical="center"/>
    </xf>
    <xf numFmtId="0" fontId="26" fillId="0" borderId="12" xfId="0" applyFont="1" applyBorder="1" applyAlignment="1">
      <alignment horizontal="center" vertical="center"/>
    </xf>
    <xf numFmtId="9" fontId="26" fillId="0" borderId="10" xfId="42" applyFont="1" applyBorder="1" applyAlignment="1">
      <alignment horizontal="center" vertical="center"/>
    </xf>
    <xf numFmtId="9" fontId="26" fillId="0" borderId="31" xfId="42" applyFont="1" applyBorder="1" applyAlignment="1">
      <alignment horizontal="center" vertical="center"/>
    </xf>
    <xf numFmtId="0" fontId="26" fillId="0" borderId="32" xfId="0" applyFont="1" applyBorder="1" applyAlignment="1">
      <alignment horizontal="left" vertical="center"/>
    </xf>
    <xf numFmtId="0" fontId="26" fillId="0" borderId="48" xfId="0" applyFont="1" applyBorder="1" applyAlignment="1">
      <alignment horizontal="center" vertical="center"/>
    </xf>
    <xf numFmtId="1" fontId="26" fillId="0" borderId="38" xfId="0" applyNumberFormat="1" applyFont="1" applyBorder="1" applyAlignment="1">
      <alignment horizontal="center" vertical="center"/>
    </xf>
    <xf numFmtId="1" fontId="26" fillId="0" borderId="39" xfId="0" applyNumberFormat="1" applyFont="1" applyBorder="1" applyAlignment="1">
      <alignment horizontal="center" vertical="center"/>
    </xf>
    <xf numFmtId="0" fontId="28" fillId="54" borderId="0" xfId="0" applyFont="1" applyFill="1"/>
    <xf numFmtId="0" fontId="28" fillId="54" borderId="0" xfId="0" applyFont="1" applyFill="1" applyBorder="1"/>
    <xf numFmtId="0" fontId="95" fillId="54" borderId="0" xfId="0" applyFont="1" applyFill="1" applyBorder="1" applyAlignment="1"/>
    <xf numFmtId="0" fontId="74" fillId="54" borderId="10" xfId="0" applyFont="1" applyFill="1" applyBorder="1" applyAlignment="1">
      <alignment vertical="center"/>
    </xf>
    <xf numFmtId="0" fontId="74" fillId="54" borderId="10" xfId="0" applyFont="1" applyFill="1" applyBorder="1" applyAlignment="1" applyProtection="1">
      <alignment horizontal="center" vertical="center"/>
    </xf>
    <xf numFmtId="1" fontId="74" fillId="54" borderId="10" xfId="0" applyNumberFormat="1" applyFont="1" applyFill="1" applyBorder="1" applyAlignment="1" applyProtection="1">
      <alignment horizontal="center" vertical="center"/>
    </xf>
    <xf numFmtId="0" fontId="74" fillId="54" borderId="10" xfId="0" applyFont="1" applyFill="1" applyBorder="1" applyAlignment="1">
      <alignment horizontal="left" vertical="center"/>
    </xf>
    <xf numFmtId="2" fontId="74" fillId="54" borderId="10" xfId="0" applyNumberFormat="1" applyFont="1" applyFill="1" applyBorder="1" applyAlignment="1" applyProtection="1">
      <alignment horizontal="center" vertical="center"/>
    </xf>
    <xf numFmtId="6" fontId="74" fillId="54" borderId="10" xfId="0" applyNumberFormat="1" applyFont="1" applyFill="1" applyBorder="1" applyAlignment="1" applyProtection="1">
      <alignment horizontal="center" vertical="center"/>
    </xf>
    <xf numFmtId="0" fontId="74" fillId="54" borderId="0" xfId="0" applyFont="1" applyFill="1" applyBorder="1" applyAlignment="1">
      <alignment horizontal="left" vertical="center"/>
    </xf>
    <xf numFmtId="0" fontId="74" fillId="54" borderId="0" xfId="0" applyFont="1" applyFill="1" applyBorder="1" applyAlignment="1" applyProtection="1">
      <alignment horizontal="center" vertical="center"/>
    </xf>
    <xf numFmtId="1" fontId="74" fillId="54" borderId="26" xfId="0" applyNumberFormat="1" applyFont="1" applyFill="1" applyBorder="1" applyAlignment="1" applyProtection="1">
      <alignment horizontal="center" vertical="center"/>
    </xf>
    <xf numFmtId="0" fontId="83" fillId="54" borderId="10" xfId="0" applyFont="1" applyFill="1" applyBorder="1" applyAlignment="1">
      <alignment horizontal="left" vertical="center"/>
    </xf>
    <xf numFmtId="0" fontId="83" fillId="54" borderId="10" xfId="0" applyFont="1" applyFill="1" applyBorder="1" applyAlignment="1" applyProtection="1">
      <alignment horizontal="center" vertical="center"/>
    </xf>
    <xf numFmtId="1" fontId="83" fillId="54" borderId="10" xfId="0" applyNumberFormat="1" applyFont="1" applyFill="1" applyBorder="1" applyAlignment="1" applyProtection="1">
      <alignment horizontal="center" vertical="center"/>
    </xf>
    <xf numFmtId="6" fontId="83" fillId="54" borderId="10" xfId="0" applyNumberFormat="1" applyFont="1" applyFill="1" applyBorder="1" applyAlignment="1" applyProtection="1">
      <alignment horizontal="center" vertical="center"/>
    </xf>
    <xf numFmtId="164" fontId="83" fillId="54" borderId="10" xfId="0" applyNumberFormat="1" applyFont="1" applyFill="1" applyBorder="1" applyAlignment="1" applyProtection="1">
      <alignment horizontal="center" vertical="center"/>
    </xf>
    <xf numFmtId="2" fontId="83" fillId="54" borderId="10" xfId="0" applyNumberFormat="1" applyFont="1" applyFill="1" applyBorder="1" applyAlignment="1" applyProtection="1">
      <alignment horizontal="center" vertical="center"/>
    </xf>
    <xf numFmtId="0" fontId="53" fillId="54" borderId="11" xfId="0" applyFont="1" applyFill="1" applyBorder="1" applyAlignment="1">
      <alignment horizontal="left" vertical="center"/>
    </xf>
    <xf numFmtId="0" fontId="53" fillId="54" borderId="10" xfId="0" applyFont="1" applyFill="1" applyBorder="1" applyAlignment="1" applyProtection="1">
      <alignment horizontal="center" vertical="center"/>
    </xf>
    <xf numFmtId="2" fontId="53" fillId="54" borderId="10" xfId="0" applyNumberFormat="1" applyFont="1" applyFill="1" applyBorder="1" applyAlignment="1" applyProtection="1">
      <alignment horizontal="center" vertical="center"/>
    </xf>
    <xf numFmtId="164" fontId="53" fillId="54" borderId="10" xfId="0" applyNumberFormat="1" applyFont="1" applyFill="1" applyBorder="1" applyAlignment="1" applyProtection="1">
      <alignment horizontal="center" vertical="center"/>
    </xf>
    <xf numFmtId="0" fontId="53" fillId="54" borderId="11" xfId="0" applyFont="1" applyFill="1" applyBorder="1" applyAlignment="1">
      <alignment vertical="center"/>
    </xf>
    <xf numFmtId="8" fontId="53" fillId="54" borderId="10" xfId="0" applyNumberFormat="1" applyFont="1" applyFill="1" applyBorder="1" applyAlignment="1" applyProtection="1">
      <alignment horizontal="center" vertical="center"/>
    </xf>
    <xf numFmtId="6" fontId="53" fillId="54" borderId="10" xfId="0" applyNumberFormat="1" applyFont="1" applyFill="1" applyBorder="1" applyAlignment="1" applyProtection="1">
      <alignment horizontal="center" vertical="center"/>
    </xf>
    <xf numFmtId="167" fontId="25" fillId="54" borderId="0" xfId="133" applyNumberFormat="1" applyFont="1" applyFill="1" applyBorder="1" applyAlignment="1">
      <alignment vertical="center"/>
    </xf>
    <xf numFmtId="0" fontId="28" fillId="55" borderId="49" xfId="0" applyFont="1" applyFill="1" applyBorder="1" applyAlignment="1">
      <alignment vertical="center"/>
    </xf>
    <xf numFmtId="0" fontId="28" fillId="55" borderId="51" xfId="0" applyFont="1" applyFill="1" applyBorder="1"/>
    <xf numFmtId="0" fontId="28" fillId="55" borderId="44" xfId="0" applyFont="1" applyFill="1" applyBorder="1"/>
    <xf numFmtId="0" fontId="29" fillId="0" borderId="46" xfId="0" applyFont="1" applyBorder="1" applyAlignment="1">
      <alignment horizontal="center" vertical="center"/>
    </xf>
    <xf numFmtId="0" fontId="29" fillId="0" borderId="47" xfId="0" applyFont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0" fontId="96" fillId="0" borderId="41" xfId="0" applyFont="1" applyBorder="1" applyAlignment="1">
      <alignment horizontal="center" vertical="center"/>
    </xf>
    <xf numFmtId="0" fontId="26" fillId="0" borderId="56" xfId="0" applyFont="1" applyFill="1" applyBorder="1" applyAlignment="1" applyProtection="1">
      <alignment horizontal="center" vertical="center"/>
      <protection locked="0"/>
    </xf>
    <xf numFmtId="1" fontId="26" fillId="0" borderId="57" xfId="0" applyNumberFormat="1" applyFont="1" applyFill="1" applyBorder="1" applyAlignment="1" applyProtection="1">
      <alignment horizontal="center" vertical="center"/>
      <protection locked="0"/>
    </xf>
    <xf numFmtId="9" fontId="26" fillId="0" borderId="57" xfId="42" applyFont="1" applyFill="1" applyBorder="1" applyAlignment="1" applyProtection="1">
      <alignment horizontal="center" vertical="center"/>
      <protection locked="0"/>
    </xf>
    <xf numFmtId="9" fontId="26" fillId="0" borderId="58" xfId="42" applyFont="1" applyFill="1" applyBorder="1" applyAlignment="1" applyProtection="1">
      <alignment horizontal="center" vertical="center"/>
      <protection locked="0"/>
    </xf>
    <xf numFmtId="9" fontId="26" fillId="0" borderId="39" xfId="42" applyFont="1" applyFill="1" applyBorder="1" applyAlignment="1" applyProtection="1">
      <alignment horizontal="center" vertical="center"/>
      <protection locked="0"/>
    </xf>
    <xf numFmtId="2" fontId="26" fillId="0" borderId="56" xfId="0" applyNumberFormat="1" applyFont="1" applyFill="1" applyBorder="1" applyAlignment="1" applyProtection="1">
      <alignment horizontal="center" vertical="center"/>
      <protection locked="0"/>
    </xf>
    <xf numFmtId="2" fontId="26" fillId="0" borderId="36" xfId="0" applyNumberFormat="1" applyFont="1" applyFill="1" applyBorder="1" applyAlignment="1" applyProtection="1">
      <alignment horizontal="center" vertical="center"/>
      <protection locked="0"/>
    </xf>
    <xf numFmtId="0" fontId="26" fillId="0" borderId="57" xfId="0" applyFont="1" applyBorder="1" applyAlignment="1" applyProtection="1">
      <alignment horizontal="center" vertical="center"/>
      <protection locked="0"/>
    </xf>
    <xf numFmtId="2" fontId="26" fillId="0" borderId="57" xfId="0" applyNumberFormat="1" applyFont="1" applyFill="1" applyBorder="1" applyAlignment="1" applyProtection="1">
      <alignment horizontal="center" vertical="center"/>
      <protection locked="0"/>
    </xf>
    <xf numFmtId="2" fontId="26" fillId="0" borderId="57" xfId="0" applyNumberFormat="1" applyFont="1" applyBorder="1" applyAlignment="1" applyProtection="1">
      <alignment horizontal="center" vertical="center"/>
      <protection locked="0"/>
    </xf>
    <xf numFmtId="1" fontId="26" fillId="0" borderId="57" xfId="0" applyNumberFormat="1" applyFont="1" applyBorder="1" applyAlignment="1" applyProtection="1">
      <alignment horizontal="center" vertical="center"/>
      <protection locked="0"/>
    </xf>
    <xf numFmtId="9" fontId="26" fillId="0" borderId="57" xfId="42" applyFont="1" applyBorder="1" applyAlignment="1" applyProtection="1">
      <alignment horizontal="center" vertical="center"/>
      <protection locked="0"/>
    </xf>
    <xf numFmtId="164" fontId="26" fillId="0" borderId="57" xfId="0" applyNumberFormat="1" applyFont="1" applyBorder="1" applyAlignment="1" applyProtection="1">
      <alignment horizontal="center" vertical="center"/>
      <protection locked="0"/>
    </xf>
    <xf numFmtId="8" fontId="26" fillId="0" borderId="57" xfId="0" applyNumberFormat="1" applyFont="1" applyBorder="1" applyAlignment="1" applyProtection="1">
      <alignment horizontal="center" vertical="center"/>
      <protection locked="0"/>
    </xf>
    <xf numFmtId="9" fontId="26" fillId="0" borderId="57" xfId="0" applyNumberFormat="1" applyFont="1" applyBorder="1" applyAlignment="1" applyProtection="1">
      <alignment horizontal="center" vertical="center"/>
      <protection locked="0"/>
    </xf>
    <xf numFmtId="9" fontId="26" fillId="0" borderId="57" xfId="38" applyFont="1" applyFill="1" applyBorder="1" applyAlignment="1" applyProtection="1">
      <alignment horizontal="center" vertical="center"/>
      <protection locked="0"/>
    </xf>
    <xf numFmtId="6" fontId="26" fillId="0" borderId="58" xfId="0" applyNumberFormat="1" applyFont="1" applyBorder="1" applyAlignment="1" applyProtection="1">
      <alignment horizontal="center" vertical="center"/>
      <protection locked="0"/>
    </xf>
    <xf numFmtId="9" fontId="26" fillId="0" borderId="56" xfId="42" applyFont="1" applyBorder="1" applyAlignment="1" applyProtection="1">
      <alignment horizontal="center" vertical="center"/>
      <protection locked="0"/>
    </xf>
    <xf numFmtId="164" fontId="26" fillId="0" borderId="58" xfId="0" applyNumberFormat="1" applyFont="1" applyFill="1" applyBorder="1" applyAlignment="1" applyProtection="1">
      <alignment horizontal="center" vertical="center"/>
      <protection locked="0"/>
    </xf>
    <xf numFmtId="0" fontId="28" fillId="55" borderId="50" xfId="0" applyFont="1" applyFill="1" applyBorder="1" applyAlignment="1">
      <alignment horizontal="left" vertical="center" wrapText="1"/>
    </xf>
    <xf numFmtId="0" fontId="28" fillId="55" borderId="0" xfId="0" applyFont="1" applyFill="1" applyBorder="1" applyAlignment="1">
      <alignment horizontal="left" vertical="center" wrapText="1"/>
    </xf>
    <xf numFmtId="0" fontId="28" fillId="55" borderId="52" xfId="0" applyFont="1" applyFill="1" applyBorder="1" applyAlignment="1">
      <alignment horizontal="left" vertical="center" wrapText="1"/>
    </xf>
    <xf numFmtId="0" fontId="28" fillId="55" borderId="53" xfId="0" applyFont="1" applyFill="1" applyBorder="1" applyAlignment="1">
      <alignment vertical="center" wrapText="1"/>
    </xf>
    <xf numFmtId="0" fontId="28" fillId="55" borderId="54" xfId="0" applyFont="1" applyFill="1" applyBorder="1" applyAlignment="1">
      <alignment vertical="center" wrapText="1"/>
    </xf>
    <xf numFmtId="0" fontId="28" fillId="55" borderId="55" xfId="0" applyFont="1" applyFill="1" applyBorder="1" applyAlignment="1">
      <alignment vertical="center" wrapText="1"/>
    </xf>
    <xf numFmtId="0" fontId="67" fillId="0" borderId="15" xfId="0" applyFont="1" applyBorder="1" applyAlignment="1">
      <alignment horizontal="center" vertical="center" textRotation="90"/>
    </xf>
    <xf numFmtId="0" fontId="67" fillId="0" borderId="25" xfId="0" applyFont="1" applyBorder="1" applyAlignment="1">
      <alignment horizontal="center" vertical="center" textRotation="90"/>
    </xf>
    <xf numFmtId="0" fontId="67" fillId="0" borderId="14" xfId="0" applyFont="1" applyBorder="1" applyAlignment="1">
      <alignment horizontal="center" vertical="center" textRotation="90"/>
    </xf>
    <xf numFmtId="0" fontId="73" fillId="0" borderId="10" xfId="0" applyFont="1" applyFill="1" applyBorder="1" applyAlignment="1">
      <alignment horizontal="center" vertical="center" textRotation="90"/>
    </xf>
    <xf numFmtId="0" fontId="82" fillId="0" borderId="10" xfId="0" applyFont="1" applyFill="1" applyBorder="1" applyAlignment="1">
      <alignment horizontal="center" vertical="center" textRotation="90"/>
    </xf>
    <xf numFmtId="0" fontId="29" fillId="0" borderId="0" xfId="0" applyFont="1" applyAlignment="1">
      <alignment horizontal="center" vertical="center"/>
    </xf>
    <xf numFmtId="0" fontId="93" fillId="0" borderId="0" xfId="0" applyFont="1" applyFill="1" applyBorder="1" applyAlignment="1" applyProtection="1">
      <alignment horizontal="center" vertical="center"/>
      <protection locked="0"/>
    </xf>
    <xf numFmtId="0" fontId="90" fillId="0" borderId="27" xfId="0" applyFont="1" applyFill="1" applyBorder="1" applyAlignment="1" applyProtection="1">
      <alignment horizontal="center" vertical="center"/>
      <protection locked="0"/>
    </xf>
    <xf numFmtId="0" fontId="90" fillId="0" borderId="28" xfId="0" applyFont="1" applyFill="1" applyBorder="1" applyAlignment="1" applyProtection="1">
      <alignment horizontal="center" vertical="center"/>
      <protection locked="0"/>
    </xf>
    <xf numFmtId="0" fontId="90" fillId="0" borderId="29" xfId="0" applyFont="1" applyFill="1" applyBorder="1" applyAlignment="1" applyProtection="1">
      <alignment horizontal="center" vertical="center"/>
      <protection locked="0"/>
    </xf>
    <xf numFmtId="0" fontId="64" fillId="0" borderId="10" xfId="0" applyFont="1" applyBorder="1" applyAlignment="1">
      <alignment horizontal="center" vertical="center" textRotation="90"/>
    </xf>
    <xf numFmtId="0" fontId="66" fillId="0" borderId="10" xfId="0" applyFont="1" applyBorder="1" applyAlignment="1">
      <alignment horizontal="center" vertical="center" textRotation="90"/>
    </xf>
    <xf numFmtId="0" fontId="90" fillId="0" borderId="27" xfId="0" applyFont="1" applyBorder="1" applyAlignment="1" applyProtection="1">
      <alignment horizontal="center" vertical="center"/>
      <protection locked="0"/>
    </xf>
    <xf numFmtId="0" fontId="90" fillId="0" borderId="28" xfId="0" applyFont="1" applyBorder="1" applyAlignment="1" applyProtection="1">
      <alignment horizontal="center" vertical="center"/>
      <protection locked="0"/>
    </xf>
    <xf numFmtId="0" fontId="90" fillId="0" borderId="29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>
      <alignment horizontal="center" vertical="center" textRotation="90"/>
    </xf>
    <xf numFmtId="0" fontId="88" fillId="0" borderId="25" xfId="0" applyFont="1" applyBorder="1" applyAlignment="1">
      <alignment horizontal="center" vertical="center" textRotation="90"/>
    </xf>
    <xf numFmtId="0" fontId="88" fillId="0" borderId="14" xfId="0" applyFont="1" applyBorder="1" applyAlignment="1">
      <alignment horizontal="center" vertical="center" textRotation="90"/>
    </xf>
    <xf numFmtId="0" fontId="88" fillId="0" borderId="10" xfId="0" applyFont="1" applyBorder="1" applyAlignment="1">
      <alignment horizontal="center" vertical="center" textRotation="90"/>
    </xf>
    <xf numFmtId="0" fontId="63" fillId="0" borderId="15" xfId="0" applyFont="1" applyBorder="1" applyAlignment="1">
      <alignment horizontal="center" vertical="center" textRotation="90"/>
    </xf>
    <xf numFmtId="0" fontId="63" fillId="0" borderId="25" xfId="0" applyFont="1" applyBorder="1" applyAlignment="1">
      <alignment horizontal="center" vertical="center" textRotation="90"/>
    </xf>
    <xf numFmtId="0" fontId="63" fillId="0" borderId="14" xfId="0" applyFont="1" applyBorder="1" applyAlignment="1">
      <alignment horizontal="center" vertical="center" textRotation="90"/>
    </xf>
    <xf numFmtId="0" fontId="81" fillId="0" borderId="10" xfId="0" applyFont="1" applyBorder="1" applyAlignment="1">
      <alignment horizontal="center" vertical="center" textRotation="90"/>
    </xf>
    <xf numFmtId="0" fontId="65" fillId="0" borderId="10" xfId="0" applyFont="1" applyBorder="1" applyAlignment="1">
      <alignment horizontal="center" vertical="center" textRotation="90"/>
    </xf>
  </cellXfs>
  <cellStyles count="136">
    <cellStyle name="20% - Accent1" xfId="1" xr:uid="{00000000-0005-0000-0000-000000000000}"/>
    <cellStyle name="20% - Accent1 2" xfId="64" xr:uid="{00000000-0005-0000-0000-000033000000}"/>
    <cellStyle name="20% - Accent1 3" xfId="91" xr:uid="{00000000-0005-0000-0000-000000000000}"/>
    <cellStyle name="20% - Accent2" xfId="2" xr:uid="{00000000-0005-0000-0000-000001000000}"/>
    <cellStyle name="20% - Accent2 2" xfId="68" xr:uid="{00000000-0005-0000-0000-000034000000}"/>
    <cellStyle name="20% - Accent2 3" xfId="92" xr:uid="{00000000-0005-0000-0000-000001000000}"/>
    <cellStyle name="20% - Accent3" xfId="3" xr:uid="{00000000-0005-0000-0000-000002000000}"/>
    <cellStyle name="20% - Accent3 2" xfId="72" xr:uid="{00000000-0005-0000-0000-000035000000}"/>
    <cellStyle name="20% - Accent3 3" xfId="93" xr:uid="{00000000-0005-0000-0000-000002000000}"/>
    <cellStyle name="20% - Accent4" xfId="4" xr:uid="{00000000-0005-0000-0000-000003000000}"/>
    <cellStyle name="20% - Accent4 2" xfId="76" xr:uid="{00000000-0005-0000-0000-000036000000}"/>
    <cellStyle name="20% - Accent4 3" xfId="94" xr:uid="{00000000-0005-0000-0000-000003000000}"/>
    <cellStyle name="20% - Accent5" xfId="5" xr:uid="{00000000-0005-0000-0000-000004000000}"/>
    <cellStyle name="20% - Accent5 2" xfId="80" xr:uid="{00000000-0005-0000-0000-000037000000}"/>
    <cellStyle name="20% - Accent5 3" xfId="95" xr:uid="{00000000-0005-0000-0000-000004000000}"/>
    <cellStyle name="20% - Accent6" xfId="6" xr:uid="{00000000-0005-0000-0000-000005000000}"/>
    <cellStyle name="20% - Accent6 2" xfId="84" xr:uid="{00000000-0005-0000-0000-000038000000}"/>
    <cellStyle name="20% - Accent6 3" xfId="96" xr:uid="{00000000-0005-0000-0000-000005000000}"/>
    <cellStyle name="40% - Accent1" xfId="7" xr:uid="{00000000-0005-0000-0000-000006000000}"/>
    <cellStyle name="40% - Accent1 2" xfId="65" xr:uid="{00000000-0005-0000-0000-000039000000}"/>
    <cellStyle name="40% - Accent1 3" xfId="97" xr:uid="{00000000-0005-0000-0000-000006000000}"/>
    <cellStyle name="40% - Accent2" xfId="8" xr:uid="{00000000-0005-0000-0000-000007000000}"/>
    <cellStyle name="40% - Accent2 2" xfId="69" xr:uid="{00000000-0005-0000-0000-00003A000000}"/>
    <cellStyle name="40% - Accent2 3" xfId="98" xr:uid="{00000000-0005-0000-0000-000007000000}"/>
    <cellStyle name="40% - Accent3" xfId="9" xr:uid="{00000000-0005-0000-0000-000008000000}"/>
    <cellStyle name="40% - Accent3 2" xfId="73" xr:uid="{00000000-0005-0000-0000-00003B000000}"/>
    <cellStyle name="40% - Accent3 3" xfId="99" xr:uid="{00000000-0005-0000-0000-000008000000}"/>
    <cellStyle name="40% - Accent4" xfId="10" xr:uid="{00000000-0005-0000-0000-000009000000}"/>
    <cellStyle name="40% - Accent4 2" xfId="77" xr:uid="{00000000-0005-0000-0000-00003C000000}"/>
    <cellStyle name="40% - Accent4 3" xfId="100" xr:uid="{00000000-0005-0000-0000-000009000000}"/>
    <cellStyle name="40% - Accent5" xfId="11" xr:uid="{00000000-0005-0000-0000-00000A000000}"/>
    <cellStyle name="40% - Accent5 2" xfId="81" xr:uid="{00000000-0005-0000-0000-00003D000000}"/>
    <cellStyle name="40% - Accent5 3" xfId="101" xr:uid="{00000000-0005-0000-0000-00000A000000}"/>
    <cellStyle name="40% - Accent6" xfId="12" xr:uid="{00000000-0005-0000-0000-00000B000000}"/>
    <cellStyle name="40% - Accent6 2" xfId="85" xr:uid="{00000000-0005-0000-0000-00003E000000}"/>
    <cellStyle name="40% - Accent6 3" xfId="102" xr:uid="{00000000-0005-0000-0000-00000B000000}"/>
    <cellStyle name="60% - Accent1" xfId="13" xr:uid="{00000000-0005-0000-0000-00000C000000}"/>
    <cellStyle name="60% - Accent1 2" xfId="66" xr:uid="{00000000-0005-0000-0000-00003F000000}"/>
    <cellStyle name="60% - Accent1 3" xfId="103" xr:uid="{00000000-0005-0000-0000-00000C000000}"/>
    <cellStyle name="60% - Accent2" xfId="14" xr:uid="{00000000-0005-0000-0000-00000D000000}"/>
    <cellStyle name="60% - Accent2 2" xfId="70" xr:uid="{00000000-0005-0000-0000-000040000000}"/>
    <cellStyle name="60% - Accent2 3" xfId="104" xr:uid="{00000000-0005-0000-0000-00000D000000}"/>
    <cellStyle name="60% - Accent3" xfId="15" xr:uid="{00000000-0005-0000-0000-00000E000000}"/>
    <cellStyle name="60% - Accent3 2" xfId="74" xr:uid="{00000000-0005-0000-0000-000041000000}"/>
    <cellStyle name="60% - Accent3 3" xfId="105" xr:uid="{00000000-0005-0000-0000-00000E000000}"/>
    <cellStyle name="60% - Accent4" xfId="16" xr:uid="{00000000-0005-0000-0000-00000F000000}"/>
    <cellStyle name="60% - Accent4 2" xfId="78" xr:uid="{00000000-0005-0000-0000-000042000000}"/>
    <cellStyle name="60% - Accent4 3" xfId="106" xr:uid="{00000000-0005-0000-0000-00000F000000}"/>
    <cellStyle name="60% - Accent5" xfId="17" xr:uid="{00000000-0005-0000-0000-000010000000}"/>
    <cellStyle name="60% - Accent5 2" xfId="82" xr:uid="{00000000-0005-0000-0000-000043000000}"/>
    <cellStyle name="60% - Accent5 3" xfId="107" xr:uid="{00000000-0005-0000-0000-000010000000}"/>
    <cellStyle name="60% - Accent6" xfId="18" xr:uid="{00000000-0005-0000-0000-000011000000}"/>
    <cellStyle name="60% - Accent6 2" xfId="86" xr:uid="{00000000-0005-0000-0000-000044000000}"/>
    <cellStyle name="60% - Accent6 3" xfId="108" xr:uid="{00000000-0005-0000-0000-000011000000}"/>
    <cellStyle name="Accent1" xfId="19" xr:uid="{00000000-0005-0000-0000-000012000000}"/>
    <cellStyle name="Accent1 2" xfId="63" xr:uid="{00000000-0005-0000-0000-000045000000}"/>
    <cellStyle name="Accent1 3" xfId="109" xr:uid="{00000000-0005-0000-0000-000012000000}"/>
    <cellStyle name="Accent2" xfId="20" xr:uid="{00000000-0005-0000-0000-000013000000}"/>
    <cellStyle name="Accent2 2" xfId="67" xr:uid="{00000000-0005-0000-0000-000046000000}"/>
    <cellStyle name="Accent2 3" xfId="110" xr:uid="{00000000-0005-0000-0000-000013000000}"/>
    <cellStyle name="Accent3" xfId="21" xr:uid="{00000000-0005-0000-0000-000014000000}"/>
    <cellStyle name="Accent3 2" xfId="71" xr:uid="{00000000-0005-0000-0000-000047000000}"/>
    <cellStyle name="Accent3 3" xfId="111" xr:uid="{00000000-0005-0000-0000-000014000000}"/>
    <cellStyle name="Accent4" xfId="22" xr:uid="{00000000-0005-0000-0000-000015000000}"/>
    <cellStyle name="Accent4 2" xfId="75" xr:uid="{00000000-0005-0000-0000-000048000000}"/>
    <cellStyle name="Accent4 3" xfId="112" xr:uid="{00000000-0005-0000-0000-000015000000}"/>
    <cellStyle name="Accent5" xfId="23" xr:uid="{00000000-0005-0000-0000-000016000000}"/>
    <cellStyle name="Accent5 2" xfId="79" xr:uid="{00000000-0005-0000-0000-000049000000}"/>
    <cellStyle name="Accent5 3" xfId="113" xr:uid="{00000000-0005-0000-0000-000016000000}"/>
    <cellStyle name="Accent6" xfId="24" xr:uid="{00000000-0005-0000-0000-000017000000}"/>
    <cellStyle name="Accent6 2" xfId="83" xr:uid="{00000000-0005-0000-0000-00004A000000}"/>
    <cellStyle name="Accent6 3" xfId="114" xr:uid="{00000000-0005-0000-0000-000017000000}"/>
    <cellStyle name="Bad" xfId="25" xr:uid="{00000000-0005-0000-0000-000018000000}"/>
    <cellStyle name="Bad 2" xfId="52" xr:uid="{00000000-0005-0000-0000-00004B000000}"/>
    <cellStyle name="Bad 3" xfId="115" xr:uid="{00000000-0005-0000-0000-000018000000}"/>
    <cellStyle name="Calculation" xfId="26" xr:uid="{00000000-0005-0000-0000-000019000000}"/>
    <cellStyle name="Calculation 2" xfId="56" xr:uid="{00000000-0005-0000-0000-00004C000000}"/>
    <cellStyle name="Calculation 3" xfId="116" xr:uid="{00000000-0005-0000-0000-000019000000}"/>
    <cellStyle name="Check Cell" xfId="27" xr:uid="{00000000-0005-0000-0000-00001A000000}"/>
    <cellStyle name="Check Cell 2" xfId="58" xr:uid="{00000000-0005-0000-0000-00004D000000}"/>
    <cellStyle name="Check Cell 3" xfId="117" xr:uid="{00000000-0005-0000-0000-00001A000000}"/>
    <cellStyle name="Comma 2" xfId="44" xr:uid="{7A8785B8-CED0-4938-9BD2-911DE92A66C3}"/>
    <cellStyle name="Comma 3" xfId="88" xr:uid="{00000000-0005-0000-0000-00004E000000}"/>
    <cellStyle name="Comma 4" xfId="132" xr:uid="{0AEB501B-0035-4921-8E29-74B4D6D25E49}"/>
    <cellStyle name="Currency" xfId="133" builtinId="4"/>
    <cellStyle name="Explanatory Text" xfId="28" xr:uid="{00000000-0005-0000-0000-00001C000000}"/>
    <cellStyle name="Explanatory Text 2" xfId="61" xr:uid="{00000000-0005-0000-0000-00004F000000}"/>
    <cellStyle name="Explanatory Text 3" xfId="118" xr:uid="{00000000-0005-0000-0000-00001C000000}"/>
    <cellStyle name="Good" xfId="29" xr:uid="{00000000-0005-0000-0000-00001D000000}"/>
    <cellStyle name="Good 2" xfId="51" xr:uid="{00000000-0005-0000-0000-000050000000}"/>
    <cellStyle name="Good 3" xfId="119" xr:uid="{00000000-0005-0000-0000-00001D000000}"/>
    <cellStyle name="Heading 1" xfId="30" xr:uid="{00000000-0005-0000-0000-00001E000000}"/>
    <cellStyle name="Heading 1 2" xfId="47" xr:uid="{00000000-0005-0000-0000-000051000000}"/>
    <cellStyle name="Heading 1 3" xfId="120" xr:uid="{00000000-0005-0000-0000-00001E000000}"/>
    <cellStyle name="Heading 2" xfId="31" xr:uid="{00000000-0005-0000-0000-00001F000000}"/>
    <cellStyle name="Heading 2 2" xfId="48" xr:uid="{00000000-0005-0000-0000-000052000000}"/>
    <cellStyle name="Heading 2 3" xfId="121" xr:uid="{00000000-0005-0000-0000-00001F000000}"/>
    <cellStyle name="Heading 3" xfId="32" xr:uid="{00000000-0005-0000-0000-000020000000}"/>
    <cellStyle name="Heading 3 2" xfId="49" xr:uid="{00000000-0005-0000-0000-000053000000}"/>
    <cellStyle name="Heading 3 3" xfId="122" xr:uid="{00000000-0005-0000-0000-000020000000}"/>
    <cellStyle name="Heading 4" xfId="33" xr:uid="{00000000-0005-0000-0000-000021000000}"/>
    <cellStyle name="Heading 4 2" xfId="50" xr:uid="{00000000-0005-0000-0000-000054000000}"/>
    <cellStyle name="Heading 4 3" xfId="123" xr:uid="{00000000-0005-0000-0000-000021000000}"/>
    <cellStyle name="Input" xfId="34" xr:uid="{00000000-0005-0000-0000-000022000000}"/>
    <cellStyle name="Input 2" xfId="54" xr:uid="{00000000-0005-0000-0000-000055000000}"/>
    <cellStyle name="Input 3" xfId="124" xr:uid="{00000000-0005-0000-0000-000022000000}"/>
    <cellStyle name="Linked Cell" xfId="35" xr:uid="{00000000-0005-0000-0000-000023000000}"/>
    <cellStyle name="Linked Cell 2" xfId="57" xr:uid="{00000000-0005-0000-0000-000056000000}"/>
    <cellStyle name="Linked Cell 3" xfId="125" xr:uid="{00000000-0005-0000-0000-000023000000}"/>
    <cellStyle name="Neutral 2" xfId="53" xr:uid="{00000000-0005-0000-0000-000057000000}"/>
    <cellStyle name="Normal" xfId="0" builtinId="0" customBuiltin="1"/>
    <cellStyle name="Normal 2" xfId="43" xr:uid="{B919558A-50F1-4F98-9D60-4B7C472791D9}"/>
    <cellStyle name="Normal 2 2" xfId="87" xr:uid="{45DCD9B2-A3FE-4EAB-AA3B-1E5029E8EAFF}"/>
    <cellStyle name="Normal 2 3" xfId="131" xr:uid="{B919558A-50F1-4F98-9D60-4B7C472791D9}"/>
    <cellStyle name="Normal 3" xfId="90" xr:uid="{015A8B58-09C6-467D-94AB-D692A578F75A}"/>
    <cellStyle name="Normal 4" xfId="45" xr:uid="{00000000-0005-0000-0000-000058000000}"/>
    <cellStyle name="Normal 5" xfId="134" xr:uid="{1755834C-A2D7-4EFB-91EE-37E42C9D87D4}"/>
    <cellStyle name="Normal 6" xfId="135" xr:uid="{CD2BB465-1DA5-4662-A514-174C683DC6DD}"/>
    <cellStyle name="Note" xfId="36" xr:uid="{00000000-0005-0000-0000-000026000000}"/>
    <cellStyle name="Note 2" xfId="60" xr:uid="{00000000-0005-0000-0000-00005B000000}"/>
    <cellStyle name="Note 3" xfId="126" xr:uid="{00000000-0005-0000-0000-000026000000}"/>
    <cellStyle name="Output" xfId="37" xr:uid="{00000000-0005-0000-0000-000027000000}"/>
    <cellStyle name="Output 2" xfId="55" xr:uid="{00000000-0005-0000-0000-00005C000000}"/>
    <cellStyle name="Output 3" xfId="127" xr:uid="{00000000-0005-0000-0000-000027000000}"/>
    <cellStyle name="Percent" xfId="38" builtinId="5"/>
    <cellStyle name="Percent 2" xfId="42" xr:uid="{77BEFCC2-DEAE-4A83-AB0C-2BDC398A7E4C}"/>
    <cellStyle name="Percent 3" xfId="89" xr:uid="{00000000-0005-0000-0000-00005D000000}"/>
    <cellStyle name="Title" xfId="39" xr:uid="{00000000-0005-0000-0000-000029000000}"/>
    <cellStyle name="Title 2" xfId="46" xr:uid="{00000000-0005-0000-0000-00005E000000}"/>
    <cellStyle name="Title 3" xfId="128" xr:uid="{00000000-0005-0000-0000-000029000000}"/>
    <cellStyle name="Total" xfId="40" xr:uid="{00000000-0005-0000-0000-00002A000000}"/>
    <cellStyle name="Total 2" xfId="62" xr:uid="{00000000-0005-0000-0000-00005F000000}"/>
    <cellStyle name="Total 3" xfId="129" xr:uid="{00000000-0005-0000-0000-00002A000000}"/>
    <cellStyle name="Warning Text" xfId="41" xr:uid="{00000000-0005-0000-0000-00002B000000}"/>
    <cellStyle name="Warning Text 2" xfId="59" xr:uid="{00000000-0005-0000-0000-000060000000}"/>
    <cellStyle name="Warning Text 3" xfId="130" xr:uid="{00000000-0005-0000-0000-00002B000000}"/>
  </cellStyles>
  <dxfs count="0"/>
  <tableStyles count="0" defaultTableStyle="TableStyleMedium2" defaultPivotStyle="PivotStyleMedium9"/>
  <colors>
    <mruColors>
      <color rgb="FF00CC00"/>
      <color rgb="FFFF00FF"/>
      <color rgb="FF009A46"/>
      <color rgb="FF009644"/>
      <color rgb="FFD9D9D9"/>
      <color rgb="FF5283BE"/>
      <color rgb="FF6D6D6D"/>
      <color rgb="FF6893C6"/>
      <color rgb="FF3A6598"/>
      <color rgb="FF7FA3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245110</xdr:colOff>
      <xdr:row>0</xdr:row>
      <xdr:rowOff>50800</xdr:rowOff>
    </xdr:from>
    <xdr:to>
      <xdr:col>7</xdr:col>
      <xdr:colOff>234950</xdr:colOff>
      <xdr:row>4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DA4725-E958-4AD1-B4F6-39C5B38CB8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04" b="17069"/>
        <a:stretch/>
      </xdr:blipFill>
      <xdr:spPr>
        <a:xfrm>
          <a:off x="4398010" y="50800"/>
          <a:ext cx="183769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215EB8B-A94B-40F9-9E94-B7F9A5737EE1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9E846B4-06C9-4AB6-AB2A-BF7DBB71F9E7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AB5CB6-DC71-4C4D-B8DB-996551AE3F61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14A3715-B11B-4AF5-AE97-41FDB9A398AE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B4CC6F4-E63D-4C04-AEF3-9E7659A87395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2427B07-8B1D-4D87-AFE5-328EBF2D2814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ACF2E95-BC59-408D-A41C-3F8D4DE2BC8C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9861AD5-7FC1-4BB8-898B-D94CCDAF1D90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4E45F37-D205-4663-97FE-FC5C81368F05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1AEC00F-60D9-457E-9FD2-50B47462478C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EC5F6F-8BBB-453F-B573-829604AB22E8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B41EF4A7-30B0-41D2-86DB-212ABD9E0E9F}"/>
            </a:ext>
          </a:extLst>
        </xdr:cNvPr>
        <xdr:cNvSpPr txBox="1"/>
      </xdr:nvSpPr>
      <xdr:spPr>
        <a:xfrm>
          <a:off x="9555480" y="293107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92340CC-CE97-4A4D-B543-27C6D53C7CD8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5F120A7-D7A9-41B5-B5E5-CAFE1FDF4C37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BB1C48A-1A6E-4DE4-938D-497E935C648B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9973705-F3AD-4EBE-A8EA-1F4C74C99949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6D8CDE0-BAA6-4074-A4E4-6F5526DBC753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D921249-9091-4E94-B7F3-7A2FB2CE66E0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9F4E3A93-3950-4FDB-A76C-5674B7269972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3CCE47EC-FF8A-4FA0-AA08-613A40C3D98E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2C0A0A73-771F-4E2C-8BAA-C82ED0C34F59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35F3DA09-8AA5-4466-B4D4-6ECBE7B1BCD3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1D6C5801-FB1E-436F-9C4C-E94ADE61C3FC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109</xdr:row>
      <xdr:rowOff>13758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311D6A6-E2BD-4E61-94DC-7975672AD5CE}"/>
            </a:ext>
          </a:extLst>
        </xdr:cNvPr>
        <xdr:cNvSpPr txBox="1"/>
      </xdr:nvSpPr>
      <xdr:spPr>
        <a:xfrm>
          <a:off x="9806940" y="2352717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F576696-4319-49C9-864C-BCEF106CA104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ADA48457-F926-42D2-B6AC-3FB249855305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6BF457DF-F575-4673-8239-AE0026AE83CA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87C1280-F236-4313-AB52-CB9B7904D6B5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F807B0A5-7389-4336-AFC7-D86F3D23ABF7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8188F6EB-AE8F-4A4D-BD7B-911CAB49695F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9CB8EE7C-DFCA-49D1-BEB7-3F69C71F6B11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85DCBA6-7135-4664-8397-91535D4EAB95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4A2788B8-AA10-4283-9568-61F73C4F798B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8C66CE-CE6E-476A-97C1-947DB1196291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D273BB0-6303-4A3A-AB3D-E88DAF2F3E72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105</xdr:row>
      <xdr:rowOff>13758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2ABFAC2C-C50B-49C1-BDDA-D4B7C17DA097}"/>
            </a:ext>
          </a:extLst>
        </xdr:cNvPr>
        <xdr:cNvSpPr txBox="1"/>
      </xdr:nvSpPr>
      <xdr:spPr>
        <a:xfrm>
          <a:off x="9806940" y="2372529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D69CA000-5A6F-4ED6-9A28-AF3D56C49AA8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7993CD05-7258-4CF1-A441-FD980FC09C86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6F9267A0-B992-4496-9848-92D43F61EED0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97E5719C-9763-4AA2-8E4C-6D14C40122A3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C5F8512A-F477-4A38-9DAA-52792AD459BA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CDAD71E9-ABD2-42EB-9B76-AE95F1A89A3C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AF1CDA8-DBFB-458B-BB1B-DC909ED8FBF8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24AA439-D8F0-4382-A452-682CC3E9DA99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8248A1E3-9B5D-4097-B5AF-8A6699872767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16C98F9E-2612-43AF-BEC8-67F1B35E42FE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E2A98D1-A614-4EE3-8E04-F2F543218674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0</xdr:colOff>
      <xdr:row>137</xdr:row>
      <xdr:rowOff>13758</xdr:rowOff>
    </xdr:from>
    <xdr:ext cx="65" cy="17222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F9838C0B-B189-477B-9EC1-4C8E59E15E2A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F086CFD6-30BA-43DC-9860-1F6A4E21AD1C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775A3D18-A005-41DF-8809-F3A12A4E6067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A3E768-AFF7-4FDD-BAA7-9C78323B9A60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A517D2C1-372A-4B03-8C97-F73BFB19CD83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E9F3BFD3-0898-4FD7-B0CE-821BCC62AB1B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B5762BEB-A51C-4938-9892-0027E43F9097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E740975B-79BD-45BB-A08A-874BE4FCCE0F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1D872B97-D045-4956-805F-F91897D42070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7367C81-4069-447D-9060-4AF55B5AB6FF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1248A283-E2A6-4A8B-B58A-19FEEDA3035C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89DD9306-EBED-4C7B-8992-2B91422F32BA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137</xdr:row>
      <xdr:rowOff>13758</xdr:rowOff>
    </xdr:from>
    <xdr:ext cx="65" cy="17222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106078B6-BA77-4A49-BBF2-58B83B3D8008}"/>
            </a:ext>
          </a:extLst>
        </xdr:cNvPr>
        <xdr:cNvSpPr txBox="1"/>
      </xdr:nvSpPr>
      <xdr:spPr>
        <a:xfrm>
          <a:off x="6186714" y="294505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EF2BC-0F18-4971-B3D7-5230C2235E57}">
  <sheetPr>
    <tabColor theme="0" tint="-0.499984740745262"/>
  </sheetPr>
  <dimension ref="F5:J15"/>
  <sheetViews>
    <sheetView tabSelected="1" topLeftCell="A5" workbookViewId="0">
      <selection activeCell="F15" sqref="F15"/>
    </sheetView>
  </sheetViews>
  <sheetFormatPr defaultColWidth="8.7109375" defaultRowHeight="15" x14ac:dyDescent="0.25"/>
  <cols>
    <col min="1" max="5" width="8.7109375" style="223"/>
    <col min="6" max="6" width="15.85546875" style="223" customWidth="1"/>
    <col min="7" max="7" width="26.42578125" style="223" bestFit="1" customWidth="1"/>
    <col min="8" max="16384" width="8.7109375" style="223"/>
  </cols>
  <sheetData>
    <row r="5" spans="6:10" ht="19.5" thickBot="1" x14ac:dyDescent="0.35">
      <c r="F5" s="225" t="s">
        <v>222</v>
      </c>
    </row>
    <row r="6" spans="6:10" x14ac:dyDescent="0.25">
      <c r="F6" s="249"/>
      <c r="G6" s="250"/>
      <c r="H6" s="250"/>
      <c r="I6" s="250"/>
      <c r="J6" s="251"/>
    </row>
    <row r="7" spans="6:10" ht="46.5" customHeight="1" x14ac:dyDescent="0.25">
      <c r="F7" s="275" t="s">
        <v>223</v>
      </c>
      <c r="G7" s="276"/>
      <c r="H7" s="276"/>
      <c r="I7" s="276"/>
      <c r="J7" s="277"/>
    </row>
    <row r="8" spans="6:10" ht="67.5" customHeight="1" x14ac:dyDescent="0.25">
      <c r="F8" s="275" t="s">
        <v>226</v>
      </c>
      <c r="G8" s="276"/>
      <c r="H8" s="276"/>
      <c r="I8" s="276"/>
      <c r="J8" s="277"/>
    </row>
    <row r="9" spans="6:10" ht="80.25" customHeight="1" thickBot="1" x14ac:dyDescent="0.3">
      <c r="F9" s="278" t="s">
        <v>227</v>
      </c>
      <c r="G9" s="279"/>
      <c r="H9" s="279"/>
      <c r="I9" s="279"/>
      <c r="J9" s="280"/>
    </row>
    <row r="10" spans="6:10" ht="16.5" thickBot="1" x14ac:dyDescent="0.3">
      <c r="F10" s="252" t="s">
        <v>177</v>
      </c>
      <c r="G10" s="253" t="s">
        <v>106</v>
      </c>
      <c r="H10" s="254" t="s">
        <v>175</v>
      </c>
      <c r="I10" s="254" t="s">
        <v>178</v>
      </c>
      <c r="J10" s="255" t="s">
        <v>179</v>
      </c>
    </row>
    <row r="11" spans="6:10" ht="15.75" x14ac:dyDescent="0.25">
      <c r="F11" s="211" t="s">
        <v>173</v>
      </c>
      <c r="G11" s="212" t="s">
        <v>219</v>
      </c>
      <c r="H11" s="213" t="s">
        <v>220</v>
      </c>
      <c r="I11" s="213" t="s">
        <v>220</v>
      </c>
      <c r="J11" s="214">
        <v>0</v>
      </c>
    </row>
    <row r="12" spans="6:10" ht="15.75" x14ac:dyDescent="0.25">
      <c r="F12" s="215" t="s">
        <v>145</v>
      </c>
      <c r="G12" s="216" t="s">
        <v>221</v>
      </c>
      <c r="H12" s="217">
        <v>0</v>
      </c>
      <c r="I12" s="217" t="s">
        <v>220</v>
      </c>
      <c r="J12" s="218">
        <v>0</v>
      </c>
    </row>
    <row r="13" spans="6:10" ht="16.5" thickBot="1" x14ac:dyDescent="0.3">
      <c r="F13" s="219" t="s">
        <v>170</v>
      </c>
      <c r="G13" s="220" t="s">
        <v>171</v>
      </c>
      <c r="H13" s="221">
        <v>0</v>
      </c>
      <c r="I13" s="221">
        <v>0</v>
      </c>
      <c r="J13" s="222">
        <v>1</v>
      </c>
    </row>
    <row r="14" spans="6:10" x14ac:dyDescent="0.25">
      <c r="F14" s="224"/>
      <c r="G14" s="224"/>
    </row>
    <row r="15" spans="6:10" x14ac:dyDescent="0.25">
      <c r="F15" s="224"/>
      <c r="G15" s="224"/>
    </row>
  </sheetData>
  <mergeCells count="3">
    <mergeCell ref="F7:J7"/>
    <mergeCell ref="F9:J9"/>
    <mergeCell ref="F8:J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1938-FC0F-436E-8573-C52305E56F94}">
  <sheetPr codeName="Sheet22">
    <tabColor theme="4"/>
  </sheetPr>
  <dimension ref="A2:R213"/>
  <sheetViews>
    <sheetView showGridLines="0" topLeftCell="A21" zoomScale="70" zoomScaleNormal="70" workbookViewId="0">
      <selection activeCell="L35" sqref="L35"/>
    </sheetView>
  </sheetViews>
  <sheetFormatPr defaultColWidth="8.85546875" defaultRowHeight="15.75" x14ac:dyDescent="0.25"/>
  <cols>
    <col min="1" max="1" width="3.42578125" style="9" customWidth="1"/>
    <col min="2" max="2" width="4.5703125" style="18" customWidth="1"/>
    <col min="3" max="3" width="46.42578125" style="9" customWidth="1"/>
    <col min="4" max="4" width="17.85546875" style="145" customWidth="1"/>
    <col min="5" max="5" width="13.5703125" style="1" customWidth="1"/>
    <col min="6" max="6" width="2.5703125" style="136" customWidth="1"/>
    <col min="7" max="8" width="13.5703125" style="1" customWidth="1"/>
    <col min="9" max="18" width="8.85546875" style="135"/>
    <col min="19" max="182" width="8.85546875" style="9"/>
    <col min="183" max="183" width="9.42578125" style="9" customWidth="1"/>
    <col min="184" max="184" width="28.5703125" style="9" customWidth="1"/>
    <col min="185" max="185" width="14" style="9" customWidth="1"/>
    <col min="186" max="186" width="10.5703125" style="9" customWidth="1"/>
    <col min="187" max="187" width="8.85546875" style="9"/>
    <col min="188" max="189" width="10.5703125" style="9" customWidth="1"/>
    <col min="190" max="438" width="8.85546875" style="9"/>
    <col min="439" max="439" width="9.42578125" style="9" customWidth="1"/>
    <col min="440" max="440" width="28.5703125" style="9" customWidth="1"/>
    <col min="441" max="441" width="14" style="9" customWidth="1"/>
    <col min="442" max="442" width="10.5703125" style="9" customWidth="1"/>
    <col min="443" max="443" width="8.85546875" style="9"/>
    <col min="444" max="445" width="10.5703125" style="9" customWidth="1"/>
    <col min="446" max="694" width="8.85546875" style="9"/>
    <col min="695" max="695" width="9.42578125" style="9" customWidth="1"/>
    <col min="696" max="696" width="28.5703125" style="9" customWidth="1"/>
    <col min="697" max="697" width="14" style="9" customWidth="1"/>
    <col min="698" max="698" width="10.5703125" style="9" customWidth="1"/>
    <col min="699" max="699" width="8.85546875" style="9"/>
    <col min="700" max="701" width="10.5703125" style="9" customWidth="1"/>
    <col min="702" max="950" width="8.85546875" style="9"/>
    <col min="951" max="951" width="9.42578125" style="9" customWidth="1"/>
    <col min="952" max="952" width="28.5703125" style="9" customWidth="1"/>
    <col min="953" max="953" width="14" style="9" customWidth="1"/>
    <col min="954" max="954" width="10.5703125" style="9" customWidth="1"/>
    <col min="955" max="955" width="8.85546875" style="9"/>
    <col min="956" max="957" width="10.5703125" style="9" customWidth="1"/>
    <col min="958" max="1206" width="8.85546875" style="9"/>
    <col min="1207" max="1207" width="9.42578125" style="9" customWidth="1"/>
    <col min="1208" max="1208" width="28.5703125" style="9" customWidth="1"/>
    <col min="1209" max="1209" width="14" style="9" customWidth="1"/>
    <col min="1210" max="1210" width="10.5703125" style="9" customWidth="1"/>
    <col min="1211" max="1211" width="8.85546875" style="9"/>
    <col min="1212" max="1213" width="10.5703125" style="9" customWidth="1"/>
    <col min="1214" max="1462" width="8.85546875" style="9"/>
    <col min="1463" max="1463" width="9.42578125" style="9" customWidth="1"/>
    <col min="1464" max="1464" width="28.5703125" style="9" customWidth="1"/>
    <col min="1465" max="1465" width="14" style="9" customWidth="1"/>
    <col min="1466" max="1466" width="10.5703125" style="9" customWidth="1"/>
    <col min="1467" max="1467" width="8.85546875" style="9"/>
    <col min="1468" max="1469" width="10.5703125" style="9" customWidth="1"/>
    <col min="1470" max="1718" width="8.85546875" style="9"/>
    <col min="1719" max="1719" width="9.42578125" style="9" customWidth="1"/>
    <col min="1720" max="1720" width="28.5703125" style="9" customWidth="1"/>
    <col min="1721" max="1721" width="14" style="9" customWidth="1"/>
    <col min="1722" max="1722" width="10.5703125" style="9" customWidth="1"/>
    <col min="1723" max="1723" width="8.85546875" style="9"/>
    <col min="1724" max="1725" width="10.5703125" style="9" customWidth="1"/>
    <col min="1726" max="1974" width="8.85546875" style="9"/>
    <col min="1975" max="1975" width="9.42578125" style="9" customWidth="1"/>
    <col min="1976" max="1976" width="28.5703125" style="9" customWidth="1"/>
    <col min="1977" max="1977" width="14" style="9" customWidth="1"/>
    <col min="1978" max="1978" width="10.5703125" style="9" customWidth="1"/>
    <col min="1979" max="1979" width="8.85546875" style="9"/>
    <col min="1980" max="1981" width="10.5703125" style="9" customWidth="1"/>
    <col min="1982" max="2230" width="8.85546875" style="9"/>
    <col min="2231" max="2231" width="9.42578125" style="9" customWidth="1"/>
    <col min="2232" max="2232" width="28.5703125" style="9" customWidth="1"/>
    <col min="2233" max="2233" width="14" style="9" customWidth="1"/>
    <col min="2234" max="2234" width="10.5703125" style="9" customWidth="1"/>
    <col min="2235" max="2235" width="8.85546875" style="9"/>
    <col min="2236" max="2237" width="10.5703125" style="9" customWidth="1"/>
    <col min="2238" max="2486" width="8.85546875" style="9"/>
    <col min="2487" max="2487" width="9.42578125" style="9" customWidth="1"/>
    <col min="2488" max="2488" width="28.5703125" style="9" customWidth="1"/>
    <col min="2489" max="2489" width="14" style="9" customWidth="1"/>
    <col min="2490" max="2490" width="10.5703125" style="9" customWidth="1"/>
    <col min="2491" max="2491" width="8.85546875" style="9"/>
    <col min="2492" max="2493" width="10.5703125" style="9" customWidth="1"/>
    <col min="2494" max="2742" width="8.85546875" style="9"/>
    <col min="2743" max="2743" width="9.42578125" style="9" customWidth="1"/>
    <col min="2744" max="2744" width="28.5703125" style="9" customWidth="1"/>
    <col min="2745" max="2745" width="14" style="9" customWidth="1"/>
    <col min="2746" max="2746" width="10.5703125" style="9" customWidth="1"/>
    <col min="2747" max="2747" width="8.85546875" style="9"/>
    <col min="2748" max="2749" width="10.5703125" style="9" customWidth="1"/>
    <col min="2750" max="2998" width="8.85546875" style="9"/>
    <col min="2999" max="2999" width="9.42578125" style="9" customWidth="1"/>
    <col min="3000" max="3000" width="28.5703125" style="9" customWidth="1"/>
    <col min="3001" max="3001" width="14" style="9" customWidth="1"/>
    <col min="3002" max="3002" width="10.5703125" style="9" customWidth="1"/>
    <col min="3003" max="3003" width="8.85546875" style="9"/>
    <col min="3004" max="3005" width="10.5703125" style="9" customWidth="1"/>
    <col min="3006" max="3254" width="8.85546875" style="9"/>
    <col min="3255" max="3255" width="9.42578125" style="9" customWidth="1"/>
    <col min="3256" max="3256" width="28.5703125" style="9" customWidth="1"/>
    <col min="3257" max="3257" width="14" style="9" customWidth="1"/>
    <col min="3258" max="3258" width="10.5703125" style="9" customWidth="1"/>
    <col min="3259" max="3259" width="8.85546875" style="9"/>
    <col min="3260" max="3261" width="10.5703125" style="9" customWidth="1"/>
    <col min="3262" max="3510" width="8.85546875" style="9"/>
    <col min="3511" max="3511" width="9.42578125" style="9" customWidth="1"/>
    <col min="3512" max="3512" width="28.5703125" style="9" customWidth="1"/>
    <col min="3513" max="3513" width="14" style="9" customWidth="1"/>
    <col min="3514" max="3514" width="10.5703125" style="9" customWidth="1"/>
    <col min="3515" max="3515" width="8.85546875" style="9"/>
    <col min="3516" max="3517" width="10.5703125" style="9" customWidth="1"/>
    <col min="3518" max="3766" width="8.85546875" style="9"/>
    <col min="3767" max="3767" width="9.42578125" style="9" customWidth="1"/>
    <col min="3768" max="3768" width="28.5703125" style="9" customWidth="1"/>
    <col min="3769" max="3769" width="14" style="9" customWidth="1"/>
    <col min="3770" max="3770" width="10.5703125" style="9" customWidth="1"/>
    <col min="3771" max="3771" width="8.85546875" style="9"/>
    <col min="3772" max="3773" width="10.5703125" style="9" customWidth="1"/>
    <col min="3774" max="4022" width="8.85546875" style="9"/>
    <col min="4023" max="4023" width="9.42578125" style="9" customWidth="1"/>
    <col min="4024" max="4024" width="28.5703125" style="9" customWidth="1"/>
    <col min="4025" max="4025" width="14" style="9" customWidth="1"/>
    <col min="4026" max="4026" width="10.5703125" style="9" customWidth="1"/>
    <col min="4027" max="4027" width="8.85546875" style="9"/>
    <col min="4028" max="4029" width="10.5703125" style="9" customWidth="1"/>
    <col min="4030" max="4278" width="8.85546875" style="9"/>
    <col min="4279" max="4279" width="9.42578125" style="9" customWidth="1"/>
    <col min="4280" max="4280" width="28.5703125" style="9" customWidth="1"/>
    <col min="4281" max="4281" width="14" style="9" customWidth="1"/>
    <col min="4282" max="4282" width="10.5703125" style="9" customWidth="1"/>
    <col min="4283" max="4283" width="8.85546875" style="9"/>
    <col min="4284" max="4285" width="10.5703125" style="9" customWidth="1"/>
    <col min="4286" max="4534" width="8.85546875" style="9"/>
    <col min="4535" max="4535" width="9.42578125" style="9" customWidth="1"/>
    <col min="4536" max="4536" width="28.5703125" style="9" customWidth="1"/>
    <col min="4537" max="4537" width="14" style="9" customWidth="1"/>
    <col min="4538" max="4538" width="10.5703125" style="9" customWidth="1"/>
    <col min="4539" max="4539" width="8.85546875" style="9"/>
    <col min="4540" max="4541" width="10.5703125" style="9" customWidth="1"/>
    <col min="4542" max="4790" width="8.85546875" style="9"/>
    <col min="4791" max="4791" width="9.42578125" style="9" customWidth="1"/>
    <col min="4792" max="4792" width="28.5703125" style="9" customWidth="1"/>
    <col min="4793" max="4793" width="14" style="9" customWidth="1"/>
    <col min="4794" max="4794" width="10.5703125" style="9" customWidth="1"/>
    <col min="4795" max="4795" width="8.85546875" style="9"/>
    <col min="4796" max="4797" width="10.5703125" style="9" customWidth="1"/>
    <col min="4798" max="5046" width="8.85546875" style="9"/>
    <col min="5047" max="5047" width="9.42578125" style="9" customWidth="1"/>
    <col min="5048" max="5048" width="28.5703125" style="9" customWidth="1"/>
    <col min="5049" max="5049" width="14" style="9" customWidth="1"/>
    <col min="5050" max="5050" width="10.5703125" style="9" customWidth="1"/>
    <col min="5051" max="5051" width="8.85546875" style="9"/>
    <col min="5052" max="5053" width="10.5703125" style="9" customWidth="1"/>
    <col min="5054" max="5302" width="8.85546875" style="9"/>
    <col min="5303" max="5303" width="9.42578125" style="9" customWidth="1"/>
    <col min="5304" max="5304" width="28.5703125" style="9" customWidth="1"/>
    <col min="5305" max="5305" width="14" style="9" customWidth="1"/>
    <col min="5306" max="5306" width="10.5703125" style="9" customWidth="1"/>
    <col min="5307" max="5307" width="8.85546875" style="9"/>
    <col min="5308" max="5309" width="10.5703125" style="9" customWidth="1"/>
    <col min="5310" max="5558" width="8.85546875" style="9"/>
    <col min="5559" max="5559" width="9.42578125" style="9" customWidth="1"/>
    <col min="5560" max="5560" width="28.5703125" style="9" customWidth="1"/>
    <col min="5561" max="5561" width="14" style="9" customWidth="1"/>
    <col min="5562" max="5562" width="10.5703125" style="9" customWidth="1"/>
    <col min="5563" max="5563" width="8.85546875" style="9"/>
    <col min="5564" max="5565" width="10.5703125" style="9" customWidth="1"/>
    <col min="5566" max="5814" width="8.85546875" style="9"/>
    <col min="5815" max="5815" width="9.42578125" style="9" customWidth="1"/>
    <col min="5816" max="5816" width="28.5703125" style="9" customWidth="1"/>
    <col min="5817" max="5817" width="14" style="9" customWidth="1"/>
    <col min="5818" max="5818" width="10.5703125" style="9" customWidth="1"/>
    <col min="5819" max="5819" width="8.85546875" style="9"/>
    <col min="5820" max="5821" width="10.5703125" style="9" customWidth="1"/>
    <col min="5822" max="6070" width="8.85546875" style="9"/>
    <col min="6071" max="6071" width="9.42578125" style="9" customWidth="1"/>
    <col min="6072" max="6072" width="28.5703125" style="9" customWidth="1"/>
    <col min="6073" max="6073" width="14" style="9" customWidth="1"/>
    <col min="6074" max="6074" width="10.5703125" style="9" customWidth="1"/>
    <col min="6075" max="6075" width="8.85546875" style="9"/>
    <col min="6076" max="6077" width="10.5703125" style="9" customWidth="1"/>
    <col min="6078" max="6326" width="8.85546875" style="9"/>
    <col min="6327" max="6327" width="9.42578125" style="9" customWidth="1"/>
    <col min="6328" max="6328" width="28.5703125" style="9" customWidth="1"/>
    <col min="6329" max="6329" width="14" style="9" customWidth="1"/>
    <col min="6330" max="6330" width="10.5703125" style="9" customWidth="1"/>
    <col min="6331" max="6331" width="8.85546875" style="9"/>
    <col min="6332" max="6333" width="10.5703125" style="9" customWidth="1"/>
    <col min="6334" max="6582" width="8.85546875" style="9"/>
    <col min="6583" max="6583" width="9.42578125" style="9" customWidth="1"/>
    <col min="6584" max="6584" width="28.5703125" style="9" customWidth="1"/>
    <col min="6585" max="6585" width="14" style="9" customWidth="1"/>
    <col min="6586" max="6586" width="10.5703125" style="9" customWidth="1"/>
    <col min="6587" max="6587" width="8.85546875" style="9"/>
    <col min="6588" max="6589" width="10.5703125" style="9" customWidth="1"/>
    <col min="6590" max="6838" width="8.85546875" style="9"/>
    <col min="6839" max="6839" width="9.42578125" style="9" customWidth="1"/>
    <col min="6840" max="6840" width="28.5703125" style="9" customWidth="1"/>
    <col min="6841" max="6841" width="14" style="9" customWidth="1"/>
    <col min="6842" max="6842" width="10.5703125" style="9" customWidth="1"/>
    <col min="6843" max="6843" width="8.85546875" style="9"/>
    <col min="6844" max="6845" width="10.5703125" style="9" customWidth="1"/>
    <col min="6846" max="7094" width="8.85546875" style="9"/>
    <col min="7095" max="7095" width="9.42578125" style="9" customWidth="1"/>
    <col min="7096" max="7096" width="28.5703125" style="9" customWidth="1"/>
    <col min="7097" max="7097" width="14" style="9" customWidth="1"/>
    <col min="7098" max="7098" width="10.5703125" style="9" customWidth="1"/>
    <col min="7099" max="7099" width="8.85546875" style="9"/>
    <col min="7100" max="7101" width="10.5703125" style="9" customWidth="1"/>
    <col min="7102" max="7350" width="8.85546875" style="9"/>
    <col min="7351" max="7351" width="9.42578125" style="9" customWidth="1"/>
    <col min="7352" max="7352" width="28.5703125" style="9" customWidth="1"/>
    <col min="7353" max="7353" width="14" style="9" customWidth="1"/>
    <col min="7354" max="7354" width="10.5703125" style="9" customWidth="1"/>
    <col min="7355" max="7355" width="8.85546875" style="9"/>
    <col min="7356" max="7357" width="10.5703125" style="9" customWidth="1"/>
    <col min="7358" max="7606" width="8.85546875" style="9"/>
    <col min="7607" max="7607" width="9.42578125" style="9" customWidth="1"/>
    <col min="7608" max="7608" width="28.5703125" style="9" customWidth="1"/>
    <col min="7609" max="7609" width="14" style="9" customWidth="1"/>
    <col min="7610" max="7610" width="10.5703125" style="9" customWidth="1"/>
    <col min="7611" max="7611" width="8.85546875" style="9"/>
    <col min="7612" max="7613" width="10.5703125" style="9" customWidth="1"/>
    <col min="7614" max="7862" width="8.85546875" style="9"/>
    <col min="7863" max="7863" width="9.42578125" style="9" customWidth="1"/>
    <col min="7864" max="7864" width="28.5703125" style="9" customWidth="1"/>
    <col min="7865" max="7865" width="14" style="9" customWidth="1"/>
    <col min="7866" max="7866" width="10.5703125" style="9" customWidth="1"/>
    <col min="7867" max="7867" width="8.85546875" style="9"/>
    <col min="7868" max="7869" width="10.5703125" style="9" customWidth="1"/>
    <col min="7870" max="8118" width="8.85546875" style="9"/>
    <col min="8119" max="8119" width="9.42578125" style="9" customWidth="1"/>
    <col min="8120" max="8120" width="28.5703125" style="9" customWidth="1"/>
    <col min="8121" max="8121" width="14" style="9" customWidth="1"/>
    <col min="8122" max="8122" width="10.5703125" style="9" customWidth="1"/>
    <col min="8123" max="8123" width="8.85546875" style="9"/>
    <col min="8124" max="8125" width="10.5703125" style="9" customWidth="1"/>
    <col min="8126" max="8374" width="8.85546875" style="9"/>
    <col min="8375" max="8375" width="9.42578125" style="9" customWidth="1"/>
    <col min="8376" max="8376" width="28.5703125" style="9" customWidth="1"/>
    <col min="8377" max="8377" width="14" style="9" customWidth="1"/>
    <col min="8378" max="8378" width="10.5703125" style="9" customWidth="1"/>
    <col min="8379" max="8379" width="8.85546875" style="9"/>
    <col min="8380" max="8381" width="10.5703125" style="9" customWidth="1"/>
    <col min="8382" max="8630" width="8.85546875" style="9"/>
    <col min="8631" max="8631" width="9.42578125" style="9" customWidth="1"/>
    <col min="8632" max="8632" width="28.5703125" style="9" customWidth="1"/>
    <col min="8633" max="8633" width="14" style="9" customWidth="1"/>
    <col min="8634" max="8634" width="10.5703125" style="9" customWidth="1"/>
    <col min="8635" max="8635" width="8.85546875" style="9"/>
    <col min="8636" max="8637" width="10.5703125" style="9" customWidth="1"/>
    <col min="8638" max="8886" width="8.85546875" style="9"/>
    <col min="8887" max="8887" width="9.42578125" style="9" customWidth="1"/>
    <col min="8888" max="8888" width="28.5703125" style="9" customWidth="1"/>
    <col min="8889" max="8889" width="14" style="9" customWidth="1"/>
    <col min="8890" max="8890" width="10.5703125" style="9" customWidth="1"/>
    <col min="8891" max="8891" width="8.85546875" style="9"/>
    <col min="8892" max="8893" width="10.5703125" style="9" customWidth="1"/>
    <col min="8894" max="9142" width="8.85546875" style="9"/>
    <col min="9143" max="9143" width="9.42578125" style="9" customWidth="1"/>
    <col min="9144" max="9144" width="28.5703125" style="9" customWidth="1"/>
    <col min="9145" max="9145" width="14" style="9" customWidth="1"/>
    <col min="9146" max="9146" width="10.5703125" style="9" customWidth="1"/>
    <col min="9147" max="9147" width="8.85546875" style="9"/>
    <col min="9148" max="9149" width="10.5703125" style="9" customWidth="1"/>
    <col min="9150" max="9398" width="8.85546875" style="9"/>
    <col min="9399" max="9399" width="9.42578125" style="9" customWidth="1"/>
    <col min="9400" max="9400" width="28.5703125" style="9" customWidth="1"/>
    <col min="9401" max="9401" width="14" style="9" customWidth="1"/>
    <col min="9402" max="9402" width="10.5703125" style="9" customWidth="1"/>
    <col min="9403" max="9403" width="8.85546875" style="9"/>
    <col min="9404" max="9405" width="10.5703125" style="9" customWidth="1"/>
    <col min="9406" max="9654" width="8.85546875" style="9"/>
    <col min="9655" max="9655" width="9.42578125" style="9" customWidth="1"/>
    <col min="9656" max="9656" width="28.5703125" style="9" customWidth="1"/>
    <col min="9657" max="9657" width="14" style="9" customWidth="1"/>
    <col min="9658" max="9658" width="10.5703125" style="9" customWidth="1"/>
    <col min="9659" max="9659" width="8.85546875" style="9"/>
    <col min="9660" max="9661" width="10.5703125" style="9" customWidth="1"/>
    <col min="9662" max="9910" width="8.85546875" style="9"/>
    <col min="9911" max="9911" width="9.42578125" style="9" customWidth="1"/>
    <col min="9912" max="9912" width="28.5703125" style="9" customWidth="1"/>
    <col min="9913" max="9913" width="14" style="9" customWidth="1"/>
    <col min="9914" max="9914" width="10.5703125" style="9" customWidth="1"/>
    <col min="9915" max="9915" width="8.85546875" style="9"/>
    <col min="9916" max="9917" width="10.5703125" style="9" customWidth="1"/>
    <col min="9918" max="10166" width="8.85546875" style="9"/>
    <col min="10167" max="10167" width="9.42578125" style="9" customWidth="1"/>
    <col min="10168" max="10168" width="28.5703125" style="9" customWidth="1"/>
    <col min="10169" max="10169" width="14" style="9" customWidth="1"/>
    <col min="10170" max="10170" width="10.5703125" style="9" customWidth="1"/>
    <col min="10171" max="10171" width="8.85546875" style="9"/>
    <col min="10172" max="10173" width="10.5703125" style="9" customWidth="1"/>
    <col min="10174" max="10422" width="8.85546875" style="9"/>
    <col min="10423" max="10423" width="9.42578125" style="9" customWidth="1"/>
    <col min="10424" max="10424" width="28.5703125" style="9" customWidth="1"/>
    <col min="10425" max="10425" width="14" style="9" customWidth="1"/>
    <col min="10426" max="10426" width="10.5703125" style="9" customWidth="1"/>
    <col min="10427" max="10427" width="8.85546875" style="9"/>
    <col min="10428" max="10429" width="10.5703125" style="9" customWidth="1"/>
    <col min="10430" max="10678" width="8.85546875" style="9"/>
    <col min="10679" max="10679" width="9.42578125" style="9" customWidth="1"/>
    <col min="10680" max="10680" width="28.5703125" style="9" customWidth="1"/>
    <col min="10681" max="10681" width="14" style="9" customWidth="1"/>
    <col min="10682" max="10682" width="10.5703125" style="9" customWidth="1"/>
    <col min="10683" max="10683" width="8.85546875" style="9"/>
    <col min="10684" max="10685" width="10.5703125" style="9" customWidth="1"/>
    <col min="10686" max="10934" width="8.85546875" style="9"/>
    <col min="10935" max="10935" width="9.42578125" style="9" customWidth="1"/>
    <col min="10936" max="10936" width="28.5703125" style="9" customWidth="1"/>
    <col min="10937" max="10937" width="14" style="9" customWidth="1"/>
    <col min="10938" max="10938" width="10.5703125" style="9" customWidth="1"/>
    <col min="10939" max="10939" width="8.85546875" style="9"/>
    <col min="10940" max="10941" width="10.5703125" style="9" customWidth="1"/>
    <col min="10942" max="11190" width="8.85546875" style="9"/>
    <col min="11191" max="11191" width="9.42578125" style="9" customWidth="1"/>
    <col min="11192" max="11192" width="28.5703125" style="9" customWidth="1"/>
    <col min="11193" max="11193" width="14" style="9" customWidth="1"/>
    <col min="11194" max="11194" width="10.5703125" style="9" customWidth="1"/>
    <col min="11195" max="11195" width="8.85546875" style="9"/>
    <col min="11196" max="11197" width="10.5703125" style="9" customWidth="1"/>
    <col min="11198" max="11446" width="8.85546875" style="9"/>
    <col min="11447" max="11447" width="9.42578125" style="9" customWidth="1"/>
    <col min="11448" max="11448" width="28.5703125" style="9" customWidth="1"/>
    <col min="11449" max="11449" width="14" style="9" customWidth="1"/>
    <col min="11450" max="11450" width="10.5703125" style="9" customWidth="1"/>
    <col min="11451" max="11451" width="8.85546875" style="9"/>
    <col min="11452" max="11453" width="10.5703125" style="9" customWidth="1"/>
    <col min="11454" max="11702" width="8.85546875" style="9"/>
    <col min="11703" max="11703" width="9.42578125" style="9" customWidth="1"/>
    <col min="11704" max="11704" width="28.5703125" style="9" customWidth="1"/>
    <col min="11705" max="11705" width="14" style="9" customWidth="1"/>
    <col min="11706" max="11706" width="10.5703125" style="9" customWidth="1"/>
    <col min="11707" max="11707" width="8.85546875" style="9"/>
    <col min="11708" max="11709" width="10.5703125" style="9" customWidth="1"/>
    <col min="11710" max="11958" width="8.85546875" style="9"/>
    <col min="11959" max="11959" width="9.42578125" style="9" customWidth="1"/>
    <col min="11960" max="11960" width="28.5703125" style="9" customWidth="1"/>
    <col min="11961" max="11961" width="14" style="9" customWidth="1"/>
    <col min="11962" max="11962" width="10.5703125" style="9" customWidth="1"/>
    <col min="11963" max="11963" width="8.85546875" style="9"/>
    <col min="11964" max="11965" width="10.5703125" style="9" customWidth="1"/>
    <col min="11966" max="12214" width="8.85546875" style="9"/>
    <col min="12215" max="12215" width="9.42578125" style="9" customWidth="1"/>
    <col min="12216" max="12216" width="28.5703125" style="9" customWidth="1"/>
    <col min="12217" max="12217" width="14" style="9" customWidth="1"/>
    <col min="12218" max="12218" width="10.5703125" style="9" customWidth="1"/>
    <col min="12219" max="12219" width="8.85546875" style="9"/>
    <col min="12220" max="12221" width="10.5703125" style="9" customWidth="1"/>
    <col min="12222" max="12470" width="8.85546875" style="9"/>
    <col min="12471" max="12471" width="9.42578125" style="9" customWidth="1"/>
    <col min="12472" max="12472" width="28.5703125" style="9" customWidth="1"/>
    <col min="12473" max="12473" width="14" style="9" customWidth="1"/>
    <col min="12474" max="12474" width="10.5703125" style="9" customWidth="1"/>
    <col min="12475" max="12475" width="8.85546875" style="9"/>
    <col min="12476" max="12477" width="10.5703125" style="9" customWidth="1"/>
    <col min="12478" max="12726" width="8.85546875" style="9"/>
    <col min="12727" max="12727" width="9.42578125" style="9" customWidth="1"/>
    <col min="12728" max="12728" width="28.5703125" style="9" customWidth="1"/>
    <col min="12729" max="12729" width="14" style="9" customWidth="1"/>
    <col min="12730" max="12730" width="10.5703125" style="9" customWidth="1"/>
    <col min="12731" max="12731" width="8.85546875" style="9"/>
    <col min="12732" max="12733" width="10.5703125" style="9" customWidth="1"/>
    <col min="12734" max="12982" width="8.85546875" style="9"/>
    <col min="12983" max="12983" width="9.42578125" style="9" customWidth="1"/>
    <col min="12984" max="12984" width="28.5703125" style="9" customWidth="1"/>
    <col min="12985" max="12985" width="14" style="9" customWidth="1"/>
    <col min="12986" max="12986" width="10.5703125" style="9" customWidth="1"/>
    <col min="12987" max="12987" width="8.85546875" style="9"/>
    <col min="12988" max="12989" width="10.5703125" style="9" customWidth="1"/>
    <col min="12990" max="13238" width="8.85546875" style="9"/>
    <col min="13239" max="13239" width="9.42578125" style="9" customWidth="1"/>
    <col min="13240" max="13240" width="28.5703125" style="9" customWidth="1"/>
    <col min="13241" max="13241" width="14" style="9" customWidth="1"/>
    <col min="13242" max="13242" width="10.5703125" style="9" customWidth="1"/>
    <col min="13243" max="13243" width="8.85546875" style="9"/>
    <col min="13244" max="13245" width="10.5703125" style="9" customWidth="1"/>
    <col min="13246" max="13494" width="8.85546875" style="9"/>
    <col min="13495" max="13495" width="9.42578125" style="9" customWidth="1"/>
    <col min="13496" max="13496" width="28.5703125" style="9" customWidth="1"/>
    <col min="13497" max="13497" width="14" style="9" customWidth="1"/>
    <col min="13498" max="13498" width="10.5703125" style="9" customWidth="1"/>
    <col min="13499" max="13499" width="8.85546875" style="9"/>
    <col min="13500" max="13501" width="10.5703125" style="9" customWidth="1"/>
    <col min="13502" max="13750" width="8.85546875" style="9"/>
    <col min="13751" max="13751" width="9.42578125" style="9" customWidth="1"/>
    <col min="13752" max="13752" width="28.5703125" style="9" customWidth="1"/>
    <col min="13753" max="13753" width="14" style="9" customWidth="1"/>
    <col min="13754" max="13754" width="10.5703125" style="9" customWidth="1"/>
    <col min="13755" max="13755" width="8.85546875" style="9"/>
    <col min="13756" max="13757" width="10.5703125" style="9" customWidth="1"/>
    <col min="13758" max="14006" width="8.85546875" style="9"/>
    <col min="14007" max="14007" width="9.42578125" style="9" customWidth="1"/>
    <col min="14008" max="14008" width="28.5703125" style="9" customWidth="1"/>
    <col min="14009" max="14009" width="14" style="9" customWidth="1"/>
    <col min="14010" max="14010" width="10.5703125" style="9" customWidth="1"/>
    <col min="14011" max="14011" width="8.85546875" style="9"/>
    <col min="14012" max="14013" width="10.5703125" style="9" customWidth="1"/>
    <col min="14014" max="14262" width="8.85546875" style="9"/>
    <col min="14263" max="14263" width="9.42578125" style="9" customWidth="1"/>
    <col min="14264" max="14264" width="28.5703125" style="9" customWidth="1"/>
    <col min="14265" max="14265" width="14" style="9" customWidth="1"/>
    <col min="14266" max="14266" width="10.5703125" style="9" customWidth="1"/>
    <col min="14267" max="14267" width="8.85546875" style="9"/>
    <col min="14268" max="14269" width="10.5703125" style="9" customWidth="1"/>
    <col min="14270" max="14518" width="8.85546875" style="9"/>
    <col min="14519" max="14519" width="9.42578125" style="9" customWidth="1"/>
    <col min="14520" max="14520" width="28.5703125" style="9" customWidth="1"/>
    <col min="14521" max="14521" width="14" style="9" customWidth="1"/>
    <col min="14522" max="14522" width="10.5703125" style="9" customWidth="1"/>
    <col min="14523" max="14523" width="8.85546875" style="9"/>
    <col min="14524" max="14525" width="10.5703125" style="9" customWidth="1"/>
    <col min="14526" max="14774" width="8.85546875" style="9"/>
    <col min="14775" max="14775" width="9.42578125" style="9" customWidth="1"/>
    <col min="14776" max="14776" width="28.5703125" style="9" customWidth="1"/>
    <col min="14777" max="14777" width="14" style="9" customWidth="1"/>
    <col min="14778" max="14778" width="10.5703125" style="9" customWidth="1"/>
    <col min="14779" max="14779" width="8.85546875" style="9"/>
    <col min="14780" max="14781" width="10.5703125" style="9" customWidth="1"/>
    <col min="14782" max="15030" width="8.85546875" style="9"/>
    <col min="15031" max="15031" width="9.42578125" style="9" customWidth="1"/>
    <col min="15032" max="15032" width="28.5703125" style="9" customWidth="1"/>
    <col min="15033" max="15033" width="14" style="9" customWidth="1"/>
    <col min="15034" max="15034" width="10.5703125" style="9" customWidth="1"/>
    <col min="15035" max="15035" width="8.85546875" style="9"/>
    <col min="15036" max="15037" width="10.5703125" style="9" customWidth="1"/>
    <col min="15038" max="15286" width="8.85546875" style="9"/>
    <col min="15287" max="15287" width="9.42578125" style="9" customWidth="1"/>
    <col min="15288" max="15288" width="28.5703125" style="9" customWidth="1"/>
    <col min="15289" max="15289" width="14" style="9" customWidth="1"/>
    <col min="15290" max="15290" width="10.5703125" style="9" customWidth="1"/>
    <col min="15291" max="15291" width="8.85546875" style="9"/>
    <col min="15292" max="15293" width="10.5703125" style="9" customWidth="1"/>
    <col min="15294" max="15542" width="8.85546875" style="9"/>
    <col min="15543" max="15543" width="9.42578125" style="9" customWidth="1"/>
    <col min="15544" max="15544" width="28.5703125" style="9" customWidth="1"/>
    <col min="15545" max="15545" width="14" style="9" customWidth="1"/>
    <col min="15546" max="15546" width="10.5703125" style="9" customWidth="1"/>
    <col min="15547" max="15547" width="8.85546875" style="9"/>
    <col min="15548" max="15549" width="10.5703125" style="9" customWidth="1"/>
    <col min="15550" max="15798" width="8.85546875" style="9"/>
    <col min="15799" max="15799" width="9.42578125" style="9" customWidth="1"/>
    <col min="15800" max="15800" width="28.5703125" style="9" customWidth="1"/>
    <col min="15801" max="15801" width="14" style="9" customWidth="1"/>
    <col min="15802" max="15802" width="10.5703125" style="9" customWidth="1"/>
    <col min="15803" max="15803" width="8.85546875" style="9"/>
    <col min="15804" max="15805" width="10.5703125" style="9" customWidth="1"/>
    <col min="15806" max="16275" width="8.85546875" style="9"/>
    <col min="16276" max="16384" width="9.140625" style="9" customWidth="1"/>
  </cols>
  <sheetData>
    <row r="2" spans="1:18" x14ac:dyDescent="0.25">
      <c r="A2" s="123"/>
      <c r="B2" s="142"/>
      <c r="C2" s="206"/>
      <c r="D2" s="182"/>
      <c r="E2" s="185"/>
      <c r="F2" s="205"/>
      <c r="G2" s="185"/>
      <c r="H2" s="185"/>
    </row>
    <row r="3" spans="1:18" s="123" customFormat="1" ht="18.75" x14ac:dyDescent="0.25">
      <c r="B3" s="142"/>
      <c r="C3" s="287" t="s">
        <v>224</v>
      </c>
      <c r="D3" s="287"/>
      <c r="E3" s="287"/>
      <c r="F3" s="287" t="s">
        <v>225</v>
      </c>
      <c r="G3" s="287"/>
      <c r="H3" s="287"/>
      <c r="M3" s="133"/>
      <c r="N3" s="133"/>
      <c r="O3" s="133"/>
      <c r="P3" s="133"/>
      <c r="Q3" s="133"/>
      <c r="R3" s="133"/>
    </row>
    <row r="4" spans="1:18" s="123" customFormat="1" ht="18" customHeight="1" thickBot="1" x14ac:dyDescent="0.3">
      <c r="A4" s="125"/>
      <c r="B4" s="128"/>
      <c r="C4" s="125"/>
      <c r="D4" s="129"/>
      <c r="E4" s="126"/>
      <c r="F4" s="146"/>
      <c r="G4" s="126"/>
      <c r="H4" s="126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s="123" customFormat="1" ht="18" customHeight="1" thickBot="1" x14ac:dyDescent="0.3">
      <c r="A5" s="125"/>
      <c r="B5" s="128"/>
      <c r="C5" s="288" t="s">
        <v>127</v>
      </c>
      <c r="D5" s="289"/>
      <c r="E5" s="290"/>
      <c r="F5" s="146"/>
      <c r="G5" s="124" t="s">
        <v>175</v>
      </c>
      <c r="H5" s="124" t="s">
        <v>178</v>
      </c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s="123" customFormat="1" ht="21" customHeight="1" x14ac:dyDescent="0.25">
      <c r="A6" s="125"/>
      <c r="B6" s="130"/>
      <c r="C6" s="147" t="s">
        <v>118</v>
      </c>
      <c r="D6" s="148" t="s">
        <v>0</v>
      </c>
      <c r="E6" s="149">
        <v>280</v>
      </c>
      <c r="F6" s="125"/>
      <c r="G6" s="256">
        <v>280</v>
      </c>
      <c r="H6" s="149">
        <v>280</v>
      </c>
      <c r="I6" s="133"/>
      <c r="J6" s="133"/>
      <c r="K6" s="133"/>
      <c r="O6" s="133"/>
      <c r="P6" s="133"/>
      <c r="Q6" s="133"/>
      <c r="R6" s="133"/>
    </row>
    <row r="7" spans="1:18" s="123" customFormat="1" ht="21" customHeight="1" x14ac:dyDescent="0.25">
      <c r="A7" s="125"/>
      <c r="B7" s="130"/>
      <c r="C7" s="150" t="s">
        <v>119</v>
      </c>
      <c r="D7" s="151" t="s">
        <v>2</v>
      </c>
      <c r="E7" s="152">
        <v>60</v>
      </c>
      <c r="F7" s="131"/>
      <c r="G7" s="257">
        <v>60</v>
      </c>
      <c r="H7" s="152">
        <v>60</v>
      </c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s="123" customFormat="1" ht="21" customHeight="1" x14ac:dyDescent="0.25">
      <c r="A8" s="125"/>
      <c r="B8" s="130"/>
      <c r="C8" s="150" t="s">
        <v>120</v>
      </c>
      <c r="D8" s="151" t="s">
        <v>22</v>
      </c>
      <c r="E8" s="153">
        <v>0.4</v>
      </c>
      <c r="F8" s="125"/>
      <c r="G8" s="258">
        <v>0.4</v>
      </c>
      <c r="H8" s="153">
        <v>0.4</v>
      </c>
      <c r="I8" s="133"/>
      <c r="J8" s="133"/>
      <c r="K8" s="133"/>
      <c r="L8" s="133"/>
      <c r="M8" s="133"/>
      <c r="N8" s="133"/>
      <c r="O8" s="133"/>
      <c r="P8" s="133"/>
      <c r="Q8" s="133"/>
      <c r="R8" s="133"/>
    </row>
    <row r="9" spans="1:18" s="123" customFormat="1" ht="21" customHeight="1" x14ac:dyDescent="0.25">
      <c r="A9" s="125"/>
      <c r="B9" s="130"/>
      <c r="C9" s="150" t="s">
        <v>121</v>
      </c>
      <c r="D9" s="151" t="s">
        <v>0</v>
      </c>
      <c r="E9" s="152">
        <v>35</v>
      </c>
      <c r="F9" s="188"/>
      <c r="G9" s="257">
        <v>35</v>
      </c>
      <c r="H9" s="152">
        <v>35</v>
      </c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s="123" customFormat="1" ht="21" customHeight="1" x14ac:dyDescent="0.25">
      <c r="A10" s="125"/>
      <c r="B10" s="130"/>
      <c r="C10" s="154" t="s">
        <v>122</v>
      </c>
      <c r="D10" s="151" t="s">
        <v>183</v>
      </c>
      <c r="E10" s="152">
        <v>100</v>
      </c>
      <c r="F10" s="125"/>
      <c r="G10" s="257">
        <v>100</v>
      </c>
      <c r="H10" s="152">
        <v>100</v>
      </c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s="123" customFormat="1" ht="21" customHeight="1" thickBot="1" x14ac:dyDescent="0.3">
      <c r="A11" s="125"/>
      <c r="B11" s="130"/>
      <c r="C11" s="150" t="s">
        <v>123</v>
      </c>
      <c r="D11" s="151" t="s">
        <v>22</v>
      </c>
      <c r="E11" s="153">
        <v>0.4</v>
      </c>
      <c r="F11" s="125"/>
      <c r="G11" s="259">
        <v>0.4</v>
      </c>
      <c r="H11" s="260">
        <v>0.4</v>
      </c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s="123" customFormat="1" ht="21" customHeight="1" thickBot="1" x14ac:dyDescent="0.3">
      <c r="A12" s="125"/>
      <c r="B12" s="127"/>
      <c r="C12" s="288" t="s">
        <v>188</v>
      </c>
      <c r="D12" s="289"/>
      <c r="E12" s="290"/>
      <c r="F12" s="125"/>
      <c r="G12" s="181"/>
      <c r="H12" s="181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s="123" customFormat="1" ht="21" customHeight="1" x14ac:dyDescent="0.25">
      <c r="A13" s="125"/>
      <c r="B13" s="130"/>
      <c r="C13" s="157" t="s">
        <v>79</v>
      </c>
      <c r="D13" s="158" t="s">
        <v>184</v>
      </c>
      <c r="E13" s="159">
        <v>0.2</v>
      </c>
      <c r="F13" s="125"/>
      <c r="G13" s="261">
        <v>0.2</v>
      </c>
      <c r="H13" s="262">
        <v>0.2</v>
      </c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s="123" customFormat="1" ht="21" customHeight="1" x14ac:dyDescent="0.25">
      <c r="A14" s="125"/>
      <c r="B14" s="130"/>
      <c r="C14" s="157" t="s">
        <v>25</v>
      </c>
      <c r="D14" s="158" t="s">
        <v>126</v>
      </c>
      <c r="E14" s="160">
        <v>25</v>
      </c>
      <c r="F14" s="125"/>
      <c r="G14" s="263">
        <v>25</v>
      </c>
      <c r="H14" s="160">
        <v>25</v>
      </c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s="125" customFormat="1" ht="21" customHeight="1" x14ac:dyDescent="0.25">
      <c r="B15" s="130"/>
      <c r="C15" s="157" t="s">
        <v>24</v>
      </c>
      <c r="D15" s="158" t="s">
        <v>185</v>
      </c>
      <c r="E15" s="159">
        <v>0.31</v>
      </c>
      <c r="G15" s="264">
        <v>0.31</v>
      </c>
      <c r="H15" s="159">
        <v>0.31</v>
      </c>
      <c r="I15" s="134"/>
      <c r="J15" s="134"/>
      <c r="K15" s="134"/>
      <c r="L15" s="134"/>
      <c r="M15" s="134"/>
      <c r="N15" s="134"/>
      <c r="O15" s="134"/>
      <c r="P15" s="134"/>
      <c r="Q15" s="134"/>
      <c r="R15" s="134"/>
    </row>
    <row r="16" spans="1:18" s="125" customFormat="1" ht="21" customHeight="1" x14ac:dyDescent="0.25">
      <c r="B16" s="130"/>
      <c r="C16" s="157" t="s">
        <v>48</v>
      </c>
      <c r="D16" s="162" t="s">
        <v>186</v>
      </c>
      <c r="E16" s="161">
        <v>0.25</v>
      </c>
      <c r="G16" s="265">
        <v>0.25</v>
      </c>
      <c r="H16" s="161">
        <v>0.25</v>
      </c>
      <c r="I16" s="134"/>
      <c r="J16" s="134"/>
      <c r="K16" s="134"/>
      <c r="L16" s="134"/>
      <c r="M16" s="134"/>
      <c r="N16" s="134"/>
      <c r="O16" s="134"/>
      <c r="P16" s="134"/>
      <c r="Q16" s="134"/>
      <c r="R16" s="134"/>
    </row>
    <row r="17" spans="2:18" s="125" customFormat="1" ht="21" customHeight="1" x14ac:dyDescent="0.25">
      <c r="B17" s="130"/>
      <c r="C17" s="157" t="s">
        <v>124</v>
      </c>
      <c r="D17" s="163" t="s">
        <v>2</v>
      </c>
      <c r="E17" s="161">
        <v>0.75</v>
      </c>
      <c r="F17" s="187"/>
      <c r="G17" s="265">
        <v>0.75</v>
      </c>
      <c r="H17" s="161">
        <v>0.75</v>
      </c>
      <c r="I17" s="134"/>
      <c r="J17" s="134"/>
      <c r="K17" s="134"/>
      <c r="L17" s="134"/>
      <c r="M17" s="134"/>
      <c r="N17" s="134"/>
      <c r="O17" s="134"/>
      <c r="P17" s="134"/>
      <c r="Q17" s="134"/>
      <c r="R17" s="134"/>
    </row>
    <row r="18" spans="2:18" s="125" customFormat="1" ht="18" customHeight="1" x14ac:dyDescent="0.25">
      <c r="B18" s="130"/>
      <c r="C18" s="157" t="s">
        <v>189</v>
      </c>
      <c r="D18" s="163" t="s">
        <v>187</v>
      </c>
      <c r="E18" s="165">
        <v>28</v>
      </c>
      <c r="G18" s="266">
        <v>28</v>
      </c>
      <c r="H18" s="165">
        <v>28</v>
      </c>
      <c r="I18" s="134"/>
      <c r="J18" s="134"/>
      <c r="K18" s="134"/>
      <c r="L18" s="134"/>
      <c r="M18" s="134"/>
      <c r="N18" s="134"/>
      <c r="O18" s="134"/>
      <c r="P18" s="134"/>
      <c r="Q18" s="134"/>
      <c r="R18" s="134"/>
    </row>
    <row r="19" spans="2:18" s="125" customFormat="1" ht="18" customHeight="1" x14ac:dyDescent="0.25">
      <c r="B19" s="130"/>
      <c r="C19" s="157" t="s">
        <v>19</v>
      </c>
      <c r="D19" s="158" t="s">
        <v>22</v>
      </c>
      <c r="E19" s="166">
        <v>0.8</v>
      </c>
      <c r="G19" s="267">
        <v>0.8</v>
      </c>
      <c r="H19" s="166">
        <v>0.8</v>
      </c>
      <c r="I19" s="134"/>
      <c r="J19" s="134"/>
      <c r="K19" s="134"/>
      <c r="L19" s="134"/>
      <c r="M19" s="134"/>
      <c r="N19" s="134"/>
      <c r="O19" s="134"/>
      <c r="P19" s="134"/>
      <c r="Q19" s="134"/>
      <c r="R19" s="134"/>
    </row>
    <row r="20" spans="2:18" s="125" customFormat="1" ht="18" customHeight="1" x14ac:dyDescent="0.25">
      <c r="B20" s="130"/>
      <c r="C20" s="157" t="s">
        <v>91</v>
      </c>
      <c r="D20" s="158" t="s">
        <v>2</v>
      </c>
      <c r="E20" s="164">
        <v>1</v>
      </c>
      <c r="G20" s="268">
        <v>1</v>
      </c>
      <c r="H20" s="164">
        <v>1</v>
      </c>
      <c r="I20" s="134"/>
      <c r="J20" s="134"/>
      <c r="K20" s="134"/>
      <c r="L20" s="134"/>
      <c r="M20" s="134"/>
      <c r="N20" s="134"/>
      <c r="O20" s="134"/>
      <c r="P20" s="134"/>
      <c r="Q20" s="134"/>
      <c r="R20" s="134"/>
    </row>
    <row r="21" spans="2:18" s="125" customFormat="1" ht="18" customHeight="1" x14ac:dyDescent="0.25">
      <c r="B21" s="130"/>
      <c r="C21" s="157" t="s">
        <v>172</v>
      </c>
      <c r="D21" s="158" t="s">
        <v>2</v>
      </c>
      <c r="E21" s="164">
        <v>1</v>
      </c>
      <c r="G21" s="268">
        <v>1</v>
      </c>
      <c r="H21" s="164">
        <v>1</v>
      </c>
      <c r="I21" s="134"/>
      <c r="J21" s="134"/>
      <c r="K21" s="134"/>
      <c r="L21" s="134"/>
      <c r="M21" s="134"/>
      <c r="N21" s="134"/>
      <c r="O21" s="134"/>
      <c r="P21" s="134"/>
      <c r="Q21" s="134"/>
      <c r="R21" s="134"/>
    </row>
    <row r="22" spans="2:18" s="125" customFormat="1" ht="18" customHeight="1" x14ac:dyDescent="0.25">
      <c r="B22" s="130"/>
      <c r="C22" s="167" t="s">
        <v>28</v>
      </c>
      <c r="D22" s="163" t="s">
        <v>40</v>
      </c>
      <c r="E22" s="168">
        <v>0.1</v>
      </c>
      <c r="G22" s="269">
        <v>0.1</v>
      </c>
      <c r="H22" s="168">
        <v>0.1</v>
      </c>
      <c r="I22" s="134"/>
      <c r="J22" s="134"/>
      <c r="K22" s="134"/>
      <c r="L22" s="134"/>
      <c r="M22" s="134"/>
      <c r="N22" s="134"/>
      <c r="O22" s="134"/>
      <c r="P22" s="134"/>
      <c r="Q22" s="134"/>
      <c r="R22" s="134"/>
    </row>
    <row r="23" spans="2:18" s="125" customFormat="1" ht="18" customHeight="1" x14ac:dyDescent="0.25">
      <c r="B23" s="130"/>
      <c r="C23" s="157" t="s">
        <v>8</v>
      </c>
      <c r="D23" s="163" t="s">
        <v>22</v>
      </c>
      <c r="E23" s="166">
        <v>0.92</v>
      </c>
      <c r="G23" s="267">
        <v>0.92</v>
      </c>
      <c r="H23" s="166">
        <v>0.92</v>
      </c>
      <c r="I23" s="134"/>
      <c r="J23" s="134"/>
      <c r="K23" s="134"/>
      <c r="L23" s="134"/>
      <c r="M23" s="134"/>
      <c r="N23" s="134"/>
      <c r="O23" s="134"/>
      <c r="P23" s="134"/>
      <c r="Q23" s="134"/>
      <c r="R23" s="134"/>
    </row>
    <row r="24" spans="2:18" s="125" customFormat="1" ht="18" customHeight="1" x14ac:dyDescent="0.25">
      <c r="B24" s="130"/>
      <c r="C24" s="167" t="s">
        <v>13</v>
      </c>
      <c r="D24" s="158" t="s">
        <v>22</v>
      </c>
      <c r="E24" s="166">
        <v>0.03</v>
      </c>
      <c r="G24" s="267">
        <v>0.03</v>
      </c>
      <c r="H24" s="166">
        <v>0.03</v>
      </c>
      <c r="I24" s="134"/>
      <c r="J24" s="134"/>
      <c r="K24" s="134"/>
      <c r="L24" s="134"/>
      <c r="M24" s="134"/>
      <c r="N24" s="134"/>
      <c r="O24" s="134"/>
      <c r="P24" s="134"/>
      <c r="Q24" s="134"/>
      <c r="R24" s="134"/>
    </row>
    <row r="25" spans="2:18" s="125" customFormat="1" ht="18" customHeight="1" x14ac:dyDescent="0.25">
      <c r="B25" s="130"/>
      <c r="C25" s="157" t="s">
        <v>58</v>
      </c>
      <c r="D25" s="158" t="s">
        <v>22</v>
      </c>
      <c r="E25" s="169">
        <v>0.85</v>
      </c>
      <c r="G25" s="270">
        <v>0.85</v>
      </c>
      <c r="H25" s="169">
        <v>0.85</v>
      </c>
      <c r="I25" s="134"/>
      <c r="J25" s="134"/>
      <c r="K25" s="134"/>
      <c r="L25" s="134"/>
      <c r="M25" s="134"/>
      <c r="N25" s="134"/>
      <c r="O25" s="134"/>
      <c r="P25" s="134"/>
      <c r="Q25" s="134"/>
      <c r="R25" s="134"/>
    </row>
    <row r="26" spans="2:18" s="125" customFormat="1" ht="18" customHeight="1" x14ac:dyDescent="0.25">
      <c r="B26" s="130"/>
      <c r="C26" s="157" t="s">
        <v>59</v>
      </c>
      <c r="D26" s="158" t="s">
        <v>22</v>
      </c>
      <c r="E26" s="169">
        <v>0.95</v>
      </c>
      <c r="G26" s="270">
        <v>0.95</v>
      </c>
      <c r="H26" s="169">
        <v>0.95</v>
      </c>
      <c r="I26" s="134"/>
      <c r="J26" s="134"/>
      <c r="K26" s="134"/>
      <c r="L26" s="134"/>
      <c r="M26" s="134"/>
      <c r="N26" s="134"/>
      <c r="O26" s="134"/>
      <c r="P26" s="134"/>
      <c r="Q26" s="134"/>
      <c r="R26" s="134"/>
    </row>
    <row r="27" spans="2:18" s="125" customFormat="1" ht="18" customHeight="1" x14ac:dyDescent="0.25">
      <c r="B27" s="130"/>
      <c r="C27" s="157" t="s">
        <v>60</v>
      </c>
      <c r="D27" s="158" t="s">
        <v>22</v>
      </c>
      <c r="E27" s="169">
        <v>0.93</v>
      </c>
      <c r="G27" s="270">
        <v>0.93</v>
      </c>
      <c r="H27" s="169">
        <v>0.93</v>
      </c>
      <c r="I27" s="134"/>
      <c r="J27" s="134"/>
      <c r="K27" s="134"/>
      <c r="L27" s="134"/>
      <c r="M27" s="134"/>
      <c r="N27" s="134"/>
      <c r="O27" s="134"/>
      <c r="P27" s="134"/>
      <c r="Q27" s="134"/>
      <c r="R27" s="134"/>
    </row>
    <row r="28" spans="2:18" s="125" customFormat="1" ht="18" customHeight="1" x14ac:dyDescent="0.25">
      <c r="B28" s="130"/>
      <c r="C28" s="157" t="s">
        <v>94</v>
      </c>
      <c r="D28" s="151" t="s">
        <v>2</v>
      </c>
      <c r="E28" s="152">
        <v>60</v>
      </c>
      <c r="G28" s="257">
        <v>60</v>
      </c>
      <c r="H28" s="152">
        <v>60</v>
      </c>
      <c r="I28" s="134"/>
      <c r="J28" s="134"/>
      <c r="K28" s="134"/>
      <c r="L28" s="134"/>
      <c r="M28" s="134"/>
      <c r="N28" s="134"/>
      <c r="O28" s="134"/>
      <c r="P28" s="134"/>
      <c r="Q28" s="134"/>
      <c r="R28" s="134"/>
    </row>
    <row r="29" spans="2:18" s="125" customFormat="1" ht="18" customHeight="1" x14ac:dyDescent="0.25">
      <c r="B29" s="130"/>
      <c r="C29" s="157" t="s">
        <v>103</v>
      </c>
      <c r="D29" s="151" t="s">
        <v>22</v>
      </c>
      <c r="E29" s="170">
        <v>0.4</v>
      </c>
      <c r="G29" s="271">
        <v>0.4</v>
      </c>
      <c r="H29" s="170">
        <v>0.4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</row>
    <row r="30" spans="2:18" s="125" customFormat="1" ht="18" customHeight="1" x14ac:dyDescent="0.25">
      <c r="B30" s="130"/>
      <c r="C30" s="157" t="s">
        <v>194</v>
      </c>
      <c r="D30" s="151" t="s">
        <v>22</v>
      </c>
      <c r="E30" s="170">
        <v>0.9</v>
      </c>
      <c r="G30" s="271">
        <v>0.9</v>
      </c>
      <c r="H30" s="170">
        <v>0.9</v>
      </c>
      <c r="I30" s="134"/>
      <c r="J30" s="134"/>
      <c r="K30" s="134"/>
      <c r="L30" s="134"/>
      <c r="M30" s="134"/>
      <c r="N30" s="134"/>
      <c r="O30" s="134"/>
      <c r="P30" s="134"/>
      <c r="Q30" s="134"/>
      <c r="R30" s="134"/>
    </row>
    <row r="31" spans="2:18" s="125" customFormat="1" ht="18" customHeight="1" thickBot="1" x14ac:dyDescent="0.3">
      <c r="B31" s="130"/>
      <c r="C31" s="189" t="s">
        <v>195</v>
      </c>
      <c r="D31" s="155" t="s">
        <v>191</v>
      </c>
      <c r="E31" s="190">
        <v>15</v>
      </c>
      <c r="G31" s="272">
        <v>15</v>
      </c>
      <c r="H31" s="190">
        <v>15</v>
      </c>
      <c r="I31" s="134"/>
      <c r="J31" s="134"/>
      <c r="K31" s="134"/>
      <c r="L31" s="134"/>
      <c r="M31" s="134"/>
      <c r="N31" s="134"/>
      <c r="O31" s="134"/>
      <c r="P31" s="134"/>
      <c r="Q31" s="134"/>
      <c r="R31" s="134"/>
    </row>
    <row r="32" spans="2:18" s="125" customFormat="1" ht="18" customHeight="1" thickBot="1" x14ac:dyDescent="0.3">
      <c r="B32" s="132"/>
      <c r="C32" s="293" t="s">
        <v>193</v>
      </c>
      <c r="D32" s="294"/>
      <c r="E32" s="295"/>
      <c r="G32" s="183"/>
      <c r="H32" s="183"/>
      <c r="I32" s="134"/>
      <c r="J32" s="134"/>
      <c r="K32" s="134"/>
      <c r="L32" s="134"/>
      <c r="M32" s="134"/>
      <c r="N32" s="134"/>
      <c r="O32" s="134"/>
      <c r="P32" s="134"/>
      <c r="Q32" s="134"/>
      <c r="R32" s="134"/>
    </row>
    <row r="33" spans="1:18" s="125" customFormat="1" ht="18" customHeight="1" x14ac:dyDescent="0.25">
      <c r="B33" s="130"/>
      <c r="C33" s="171" t="s">
        <v>173</v>
      </c>
      <c r="D33" s="172" t="s">
        <v>125</v>
      </c>
      <c r="E33" s="173">
        <v>0</v>
      </c>
      <c r="G33" s="273">
        <v>1</v>
      </c>
      <c r="H33" s="173">
        <v>1</v>
      </c>
      <c r="I33" s="134"/>
      <c r="J33" s="134"/>
      <c r="K33" s="134"/>
      <c r="L33" s="134"/>
      <c r="M33" s="134"/>
      <c r="N33" s="134"/>
      <c r="O33" s="134"/>
      <c r="P33" s="134"/>
      <c r="Q33" s="134"/>
      <c r="R33" s="134"/>
    </row>
    <row r="34" spans="1:18" s="125" customFormat="1" ht="18" customHeight="1" x14ac:dyDescent="0.25">
      <c r="B34" s="130"/>
      <c r="C34" s="157" t="s">
        <v>145</v>
      </c>
      <c r="D34" s="174" t="s">
        <v>146</v>
      </c>
      <c r="E34" s="170">
        <v>0</v>
      </c>
      <c r="G34" s="271">
        <v>0</v>
      </c>
      <c r="H34" s="170">
        <v>1</v>
      </c>
      <c r="I34" s="134"/>
      <c r="J34" s="134"/>
      <c r="K34" s="134"/>
      <c r="L34" s="134"/>
      <c r="M34" s="134"/>
      <c r="N34" s="134"/>
      <c r="O34" s="134"/>
      <c r="P34" s="134"/>
      <c r="Q34" s="134"/>
      <c r="R34" s="134"/>
    </row>
    <row r="35" spans="1:18" s="125" customFormat="1" ht="18" customHeight="1" thickBot="1" x14ac:dyDescent="0.3">
      <c r="B35" s="130"/>
      <c r="C35" s="175" t="s">
        <v>170</v>
      </c>
      <c r="D35" s="176" t="s">
        <v>171</v>
      </c>
      <c r="E35" s="156">
        <v>1</v>
      </c>
      <c r="G35" s="274">
        <v>0</v>
      </c>
      <c r="H35" s="156">
        <v>0</v>
      </c>
      <c r="I35" s="134"/>
      <c r="J35" s="134"/>
      <c r="K35" s="134"/>
      <c r="L35" s="134"/>
      <c r="M35" s="134"/>
      <c r="N35" s="134"/>
      <c r="O35" s="134"/>
      <c r="P35" s="134"/>
      <c r="Q35" s="134"/>
      <c r="R35" s="134"/>
    </row>
    <row r="36" spans="1:18" s="125" customFormat="1" ht="18" customHeight="1" x14ac:dyDescent="0.25">
      <c r="A36" s="9"/>
      <c r="B36" s="30"/>
      <c r="C36" s="177"/>
      <c r="D36" s="178"/>
      <c r="E36" s="179"/>
      <c r="F36" s="9"/>
      <c r="G36" s="179"/>
      <c r="H36" s="179"/>
      <c r="I36" s="134"/>
      <c r="J36" s="134"/>
      <c r="K36" s="134"/>
      <c r="L36" s="134"/>
      <c r="M36" s="134"/>
      <c r="N36" s="134"/>
      <c r="O36" s="134"/>
      <c r="P36" s="134"/>
      <c r="Q36" s="134"/>
      <c r="R36" s="134"/>
    </row>
    <row r="37" spans="1:18" s="125" customFormat="1" ht="18" customHeight="1" x14ac:dyDescent="0.25">
      <c r="A37" s="9"/>
      <c r="B37" s="296" t="s">
        <v>158</v>
      </c>
      <c r="C37" s="47" t="s">
        <v>23</v>
      </c>
      <c r="D37" s="50" t="s">
        <v>161</v>
      </c>
      <c r="E37" s="51">
        <f>E74</f>
        <v>60</v>
      </c>
      <c r="F37" s="10"/>
      <c r="G37" s="51">
        <f>G74</f>
        <v>60</v>
      </c>
      <c r="H37" s="51">
        <f>H74</f>
        <v>60</v>
      </c>
      <c r="I37" s="134"/>
      <c r="J37" s="134"/>
      <c r="K37" s="134"/>
      <c r="L37" s="134"/>
      <c r="M37" s="134"/>
      <c r="N37" s="134"/>
      <c r="O37" s="134"/>
      <c r="P37" s="134"/>
      <c r="Q37" s="134"/>
      <c r="R37" s="134"/>
    </row>
    <row r="38" spans="1:18" s="125" customFormat="1" ht="18" customHeight="1" x14ac:dyDescent="0.25">
      <c r="A38" s="9"/>
      <c r="B38" s="297"/>
      <c r="C38" s="47" t="s">
        <v>153</v>
      </c>
      <c r="D38" s="50" t="s">
        <v>161</v>
      </c>
      <c r="E38" s="51">
        <f>E77</f>
        <v>100</v>
      </c>
      <c r="F38" s="10"/>
      <c r="G38" s="51">
        <f t="shared" ref="G38:H39" si="0">G77</f>
        <v>100</v>
      </c>
      <c r="H38" s="51">
        <f t="shared" si="0"/>
        <v>100</v>
      </c>
      <c r="I38" s="134"/>
      <c r="J38" s="134"/>
      <c r="K38" s="134"/>
      <c r="L38" s="134"/>
      <c r="M38" s="134"/>
      <c r="N38" s="134"/>
      <c r="O38" s="134"/>
      <c r="P38" s="134"/>
      <c r="Q38" s="134"/>
      <c r="R38" s="134"/>
    </row>
    <row r="39" spans="1:18" s="125" customFormat="1" ht="18" customHeight="1" x14ac:dyDescent="0.25">
      <c r="A39" s="9"/>
      <c r="B39" s="297"/>
      <c r="C39" s="47" t="s">
        <v>154</v>
      </c>
      <c r="D39" s="50" t="s">
        <v>0</v>
      </c>
      <c r="E39" s="51">
        <f>E78</f>
        <v>168</v>
      </c>
      <c r="F39" s="186"/>
      <c r="G39" s="51">
        <f t="shared" si="0"/>
        <v>168</v>
      </c>
      <c r="H39" s="51">
        <f t="shared" si="0"/>
        <v>168</v>
      </c>
      <c r="I39" s="134"/>
      <c r="J39" s="134"/>
      <c r="K39" s="134"/>
      <c r="L39" s="134"/>
      <c r="M39" s="134"/>
      <c r="N39" s="134"/>
      <c r="O39" s="134"/>
      <c r="P39" s="134"/>
      <c r="Q39" s="134"/>
      <c r="R39" s="134"/>
    </row>
    <row r="40" spans="1:18" s="125" customFormat="1" ht="18" customHeight="1" x14ac:dyDescent="0.25">
      <c r="A40" s="9"/>
      <c r="B40" s="297"/>
      <c r="C40" s="47" t="s">
        <v>155</v>
      </c>
      <c r="D40" s="50" t="s">
        <v>161</v>
      </c>
      <c r="E40" s="52">
        <f>E91</f>
        <v>60</v>
      </c>
      <c r="F40" s="23"/>
      <c r="G40" s="52">
        <f>G91</f>
        <v>60</v>
      </c>
      <c r="H40" s="52">
        <f>H91</f>
        <v>60</v>
      </c>
      <c r="I40" s="134"/>
      <c r="J40" s="134"/>
      <c r="K40" s="134"/>
      <c r="L40" s="134"/>
      <c r="M40" s="134"/>
      <c r="N40" s="134"/>
      <c r="O40" s="134"/>
      <c r="P40" s="134"/>
      <c r="Q40" s="134"/>
      <c r="R40" s="134"/>
    </row>
    <row r="41" spans="1:18" s="125" customFormat="1" ht="18" customHeight="1" x14ac:dyDescent="0.25">
      <c r="A41" s="9"/>
      <c r="B41" s="297"/>
      <c r="C41" s="47" t="s">
        <v>156</v>
      </c>
      <c r="D41" s="50" t="s">
        <v>0</v>
      </c>
      <c r="E41" s="53">
        <f>E94</f>
        <v>58.333333333333336</v>
      </c>
      <c r="F41" s="143"/>
      <c r="G41" s="53">
        <f>G94</f>
        <v>58.333333333333336</v>
      </c>
      <c r="H41" s="53">
        <f>H94</f>
        <v>58.333333333333336</v>
      </c>
    </row>
    <row r="42" spans="1:18" s="125" customFormat="1" ht="18" customHeight="1" x14ac:dyDescent="0.25">
      <c r="A42" s="9"/>
      <c r="B42" s="297"/>
      <c r="C42" s="47" t="s">
        <v>83</v>
      </c>
      <c r="D42" s="50" t="s">
        <v>161</v>
      </c>
      <c r="E42" s="51">
        <f>E37+E10</f>
        <v>160</v>
      </c>
      <c r="F42" s="10"/>
      <c r="G42" s="51">
        <f>G37+G10</f>
        <v>160</v>
      </c>
      <c r="H42" s="51">
        <f>H37+H10</f>
        <v>160</v>
      </c>
    </row>
    <row r="43" spans="1:18" s="125" customFormat="1" ht="18" customHeight="1" x14ac:dyDescent="0.25">
      <c r="A43" s="9"/>
      <c r="B43" s="297"/>
      <c r="C43" s="47" t="s">
        <v>7</v>
      </c>
      <c r="D43" s="50" t="s">
        <v>161</v>
      </c>
      <c r="E43" s="51">
        <f>E102</f>
        <v>40</v>
      </c>
      <c r="F43" s="10"/>
      <c r="G43" s="51">
        <f>G102</f>
        <v>40</v>
      </c>
      <c r="H43" s="51">
        <f>H102</f>
        <v>40</v>
      </c>
      <c r="I43" s="134"/>
      <c r="J43" s="134"/>
      <c r="K43" s="134"/>
      <c r="L43" s="134"/>
      <c r="M43" s="134"/>
      <c r="N43" s="134"/>
      <c r="O43" s="134"/>
      <c r="P43" s="134"/>
      <c r="Q43" s="134"/>
      <c r="R43" s="134"/>
    </row>
    <row r="44" spans="1:18" s="125" customFormat="1" ht="18" customHeight="1" x14ac:dyDescent="0.25">
      <c r="A44" s="21"/>
      <c r="B44" s="297"/>
      <c r="C44" s="48" t="s">
        <v>41</v>
      </c>
      <c r="D44" s="58" t="s">
        <v>162</v>
      </c>
      <c r="E44" s="52">
        <f>E100</f>
        <v>27.886749269406401</v>
      </c>
      <c r="F44" s="195"/>
      <c r="G44" s="52">
        <f t="shared" ref="G44:H45" si="1">G100</f>
        <v>27.886749269406401</v>
      </c>
      <c r="H44" s="52">
        <f t="shared" si="1"/>
        <v>27.886749269406401</v>
      </c>
      <c r="I44" s="134"/>
      <c r="J44" s="134"/>
      <c r="K44" s="134"/>
      <c r="L44" s="134"/>
      <c r="M44" s="134"/>
      <c r="N44" s="134"/>
      <c r="O44" s="134"/>
      <c r="P44" s="134"/>
      <c r="Q44" s="134"/>
      <c r="R44" s="134"/>
    </row>
    <row r="45" spans="1:18" s="125" customFormat="1" ht="18" customHeight="1" x14ac:dyDescent="0.25">
      <c r="A45" s="9"/>
      <c r="B45" s="297"/>
      <c r="C45" s="47" t="s">
        <v>4</v>
      </c>
      <c r="D45" s="50" t="s">
        <v>163</v>
      </c>
      <c r="E45" s="51">
        <f>E101</f>
        <v>1434.3729924764889</v>
      </c>
      <c r="F45" s="10"/>
      <c r="G45" s="51">
        <f t="shared" si="1"/>
        <v>1434.3729924764889</v>
      </c>
      <c r="H45" s="51">
        <f t="shared" si="1"/>
        <v>1434.3729924764889</v>
      </c>
      <c r="I45" s="134"/>
      <c r="J45" s="134"/>
      <c r="K45" s="134"/>
      <c r="L45" s="134"/>
      <c r="M45" s="134"/>
      <c r="N45" s="134"/>
      <c r="O45" s="134"/>
      <c r="P45" s="134"/>
      <c r="Q45" s="134"/>
      <c r="R45" s="134"/>
    </row>
    <row r="46" spans="1:18" s="125" customFormat="1" ht="18" customHeight="1" x14ac:dyDescent="0.25">
      <c r="A46" s="9"/>
      <c r="B46" s="297"/>
      <c r="C46" s="47" t="s">
        <v>157</v>
      </c>
      <c r="D46" s="50" t="s">
        <v>93</v>
      </c>
      <c r="E46" s="54">
        <f>E123</f>
        <v>4.5593584271347183</v>
      </c>
      <c r="F46" s="10"/>
      <c r="G46" s="54">
        <f>G123</f>
        <v>26.352556947085905</v>
      </c>
      <c r="H46" s="54">
        <f>H123</f>
        <v>26.352556947085905</v>
      </c>
      <c r="I46" s="134"/>
      <c r="J46" s="134"/>
      <c r="K46" s="134"/>
      <c r="L46" s="134"/>
      <c r="M46" s="134"/>
      <c r="N46" s="134"/>
      <c r="O46" s="134"/>
      <c r="P46" s="134"/>
      <c r="Q46" s="134"/>
      <c r="R46" s="134"/>
    </row>
    <row r="47" spans="1:18" ht="18" customHeight="1" x14ac:dyDescent="0.25">
      <c r="B47" s="297"/>
      <c r="C47" s="47" t="s">
        <v>105</v>
      </c>
      <c r="D47" s="50" t="s">
        <v>93</v>
      </c>
      <c r="E47" s="51">
        <f>E125</f>
        <v>32</v>
      </c>
      <c r="F47" s="10"/>
      <c r="G47" s="51">
        <f t="shared" ref="G47:H48" si="2">G125</f>
        <v>32</v>
      </c>
      <c r="H47" s="51">
        <f t="shared" si="2"/>
        <v>32</v>
      </c>
    </row>
    <row r="48" spans="1:18" ht="15.75" customHeight="1" x14ac:dyDescent="0.25">
      <c r="B48" s="298"/>
      <c r="C48" s="47" t="s">
        <v>26</v>
      </c>
      <c r="D48" s="50" t="s">
        <v>93</v>
      </c>
      <c r="E48" s="51">
        <f>E126</f>
        <v>36.559358427134718</v>
      </c>
      <c r="F48" s="10"/>
      <c r="G48" s="51">
        <f t="shared" si="2"/>
        <v>58.352556947085901</v>
      </c>
      <c r="H48" s="51">
        <f t="shared" si="2"/>
        <v>58.352556947085901</v>
      </c>
    </row>
    <row r="49" spans="1:18" ht="15.75" customHeight="1" x14ac:dyDescent="0.25">
      <c r="B49" s="208"/>
      <c r="C49" s="209" t="s">
        <v>218</v>
      </c>
      <c r="D49" s="50" t="s">
        <v>18</v>
      </c>
      <c r="E49" s="51">
        <f>E48*24*E22</f>
        <v>87.742460225123324</v>
      </c>
      <c r="F49" s="10"/>
      <c r="G49" s="51">
        <f>G48*24*G22</f>
        <v>140.04613667300617</v>
      </c>
      <c r="H49" s="51">
        <f>H48*24*H22</f>
        <v>140.04613667300617</v>
      </c>
    </row>
    <row r="50" spans="1:18" ht="15.75" customHeight="1" x14ac:dyDescent="0.25">
      <c r="B50" s="43"/>
      <c r="C50" s="49"/>
      <c r="D50" s="55"/>
      <c r="E50" s="56"/>
      <c r="F50" s="31"/>
      <c r="G50" s="56"/>
      <c r="H50" s="56"/>
    </row>
    <row r="51" spans="1:18" ht="15.75" customHeight="1" x14ac:dyDescent="0.25">
      <c r="B51" s="296" t="s">
        <v>175</v>
      </c>
      <c r="C51" s="47" t="s">
        <v>9</v>
      </c>
      <c r="D51" s="50" t="s">
        <v>161</v>
      </c>
      <c r="E51" s="52">
        <f>E130</f>
        <v>0</v>
      </c>
      <c r="F51" s="23"/>
      <c r="G51" s="52">
        <f>G130</f>
        <v>40</v>
      </c>
      <c r="H51" s="52">
        <f>H130</f>
        <v>0</v>
      </c>
      <c r="I51" s="9"/>
      <c r="J51" s="9"/>
      <c r="K51" s="9"/>
      <c r="L51" s="9"/>
      <c r="M51" s="9"/>
      <c r="N51" s="9"/>
      <c r="O51" s="9"/>
      <c r="P51" s="9"/>
      <c r="Q51" s="9"/>
      <c r="R51" s="9"/>
    </row>
    <row r="52" spans="1:18" ht="15.75" customHeight="1" x14ac:dyDescent="0.25">
      <c r="B52" s="297"/>
      <c r="C52" s="47" t="s">
        <v>37</v>
      </c>
      <c r="D52" s="50" t="s">
        <v>93</v>
      </c>
      <c r="E52" s="52">
        <f>E138</f>
        <v>0</v>
      </c>
      <c r="F52" s="23"/>
      <c r="G52" s="52">
        <f t="shared" ref="G52:H55" si="3">G138</f>
        <v>53.409971613217216</v>
      </c>
      <c r="H52" s="52">
        <f t="shared" si="3"/>
        <v>0</v>
      </c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ht="15.75" customHeight="1" x14ac:dyDescent="0.25">
      <c r="B53" s="297"/>
      <c r="C53" s="47" t="s">
        <v>42</v>
      </c>
      <c r="D53" s="50" t="s">
        <v>93</v>
      </c>
      <c r="E53" s="52">
        <f>E139</f>
        <v>0</v>
      </c>
      <c r="F53" s="23"/>
      <c r="G53" s="52">
        <f t="shared" si="3"/>
        <v>-4.9425853338686849</v>
      </c>
      <c r="H53" s="52">
        <f t="shared" si="3"/>
        <v>0</v>
      </c>
      <c r="I53" s="9"/>
      <c r="J53" s="9"/>
      <c r="K53" s="9"/>
      <c r="L53" s="9"/>
      <c r="M53" s="9"/>
      <c r="N53" s="9"/>
      <c r="O53" s="9"/>
      <c r="P53" s="9"/>
      <c r="Q53" s="9"/>
      <c r="R53" s="9"/>
    </row>
    <row r="54" spans="1:18" ht="15.75" customHeight="1" x14ac:dyDescent="0.25">
      <c r="B54" s="297"/>
      <c r="C54" s="47" t="s">
        <v>17</v>
      </c>
      <c r="D54" s="50" t="s">
        <v>34</v>
      </c>
      <c r="E54" s="52">
        <f>E140</f>
        <v>0</v>
      </c>
      <c r="F54" s="23"/>
      <c r="G54" s="52">
        <f t="shared" si="3"/>
        <v>-118.62204801284844</v>
      </c>
      <c r="H54" s="52">
        <f t="shared" si="3"/>
        <v>0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1:18" ht="15.75" customHeight="1" x14ac:dyDescent="0.25">
      <c r="B55" s="297"/>
      <c r="C55" s="47" t="s">
        <v>167</v>
      </c>
      <c r="D55" s="50" t="s">
        <v>44</v>
      </c>
      <c r="E55" s="57">
        <f>E141</f>
        <v>0</v>
      </c>
      <c r="F55" s="23"/>
      <c r="G55" s="57">
        <f t="shared" si="3"/>
        <v>-11.862204801284845</v>
      </c>
      <c r="H55" s="57">
        <f t="shared" si="3"/>
        <v>0</v>
      </c>
      <c r="I55" s="9"/>
      <c r="J55" s="9"/>
      <c r="K55" s="9"/>
      <c r="L55" s="9"/>
      <c r="M55" s="9"/>
      <c r="N55" s="9"/>
      <c r="O55" s="9"/>
      <c r="P55" s="9"/>
      <c r="Q55" s="9"/>
      <c r="R55" s="9"/>
    </row>
    <row r="56" spans="1:18" s="21" customFormat="1" ht="15.75" customHeight="1" x14ac:dyDescent="0.25">
      <c r="A56" s="9"/>
      <c r="B56" s="297"/>
      <c r="C56" s="47" t="s">
        <v>181</v>
      </c>
      <c r="D56" s="50" t="s">
        <v>164</v>
      </c>
      <c r="E56" s="53">
        <f>E145</f>
        <v>45.412796553304169</v>
      </c>
      <c r="F56" s="143"/>
      <c r="G56" s="53">
        <f>G145</f>
        <v>45.412796553304169</v>
      </c>
      <c r="H56" s="53">
        <f>H145</f>
        <v>45.412796553304169</v>
      </c>
    </row>
    <row r="57" spans="1:18" ht="15.75" customHeight="1" x14ac:dyDescent="0.25">
      <c r="B57" s="298"/>
      <c r="C57" s="47" t="s">
        <v>192</v>
      </c>
      <c r="D57" s="58" t="s">
        <v>182</v>
      </c>
      <c r="E57" s="57">
        <f>E149</f>
        <v>0</v>
      </c>
      <c r="F57" s="46"/>
      <c r="G57" s="57">
        <f>G149</f>
        <v>-84.518973589861574</v>
      </c>
      <c r="H57" s="57">
        <f>H149</f>
        <v>0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ht="15.75" customHeight="1" x14ac:dyDescent="0.25">
      <c r="B58" s="43"/>
      <c r="C58" s="49"/>
      <c r="D58" s="55"/>
      <c r="E58" s="56"/>
      <c r="F58" s="31"/>
      <c r="G58" s="56"/>
      <c r="H58" s="56"/>
      <c r="I58" s="9"/>
      <c r="J58" s="9"/>
      <c r="K58" s="9"/>
      <c r="L58" s="9"/>
      <c r="M58" s="9"/>
      <c r="N58" s="9"/>
      <c r="O58" s="9"/>
      <c r="P58" s="9"/>
      <c r="Q58" s="9"/>
      <c r="R58" s="9"/>
    </row>
    <row r="59" spans="1:18" ht="15.75" customHeight="1" x14ac:dyDescent="0.25">
      <c r="B59" s="299" t="s">
        <v>178</v>
      </c>
      <c r="C59" s="137" t="s">
        <v>176</v>
      </c>
      <c r="D59" s="196" t="s">
        <v>93</v>
      </c>
      <c r="E59" s="197">
        <f>E168</f>
        <v>0</v>
      </c>
      <c r="F59" s="10"/>
      <c r="G59" s="197">
        <f>G168</f>
        <v>0</v>
      </c>
      <c r="H59" s="197">
        <f>H168</f>
        <v>25.96596279882489</v>
      </c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ht="15.75" customHeight="1" x14ac:dyDescent="0.25">
      <c r="B60" s="299"/>
      <c r="C60" s="137" t="s">
        <v>143</v>
      </c>
      <c r="D60" s="196" t="s">
        <v>34</v>
      </c>
      <c r="E60" s="197">
        <f>E171</f>
        <v>0</v>
      </c>
      <c r="F60" s="10"/>
      <c r="G60" s="197">
        <f t="shared" ref="G60:H61" si="4">G171</f>
        <v>0</v>
      </c>
      <c r="H60" s="197">
        <f t="shared" si="4"/>
        <v>623.18310717179736</v>
      </c>
      <c r="I60" s="9"/>
      <c r="J60" s="9"/>
      <c r="K60" s="9"/>
      <c r="L60" s="9"/>
      <c r="M60" s="9"/>
      <c r="N60" s="9"/>
      <c r="O60" s="9"/>
      <c r="P60" s="9"/>
      <c r="Q60" s="9"/>
      <c r="R60" s="9"/>
    </row>
    <row r="61" spans="1:18" ht="15.75" customHeight="1" x14ac:dyDescent="0.25">
      <c r="B61" s="299"/>
      <c r="C61" s="47" t="s">
        <v>108</v>
      </c>
      <c r="D61" s="196" t="s">
        <v>92</v>
      </c>
      <c r="E61" s="198">
        <f>E172</f>
        <v>0</v>
      </c>
      <c r="F61" s="10"/>
      <c r="G61" s="198">
        <f t="shared" si="4"/>
        <v>0</v>
      </c>
      <c r="H61" s="198">
        <f t="shared" si="4"/>
        <v>62.318310717179742</v>
      </c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ht="15.75" customHeight="1" x14ac:dyDescent="0.25">
      <c r="B62" s="299"/>
      <c r="C62" s="47" t="s">
        <v>190</v>
      </c>
      <c r="D62" s="196" t="s">
        <v>209</v>
      </c>
      <c r="E62" s="198">
        <f>E59/E42</f>
        <v>0</v>
      </c>
      <c r="F62" s="10"/>
      <c r="G62" s="198">
        <f>G59/G42</f>
        <v>0</v>
      </c>
      <c r="H62" s="198">
        <f>H59/H42</f>
        <v>0.16228726749265557</v>
      </c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ht="15.75" customHeight="1" x14ac:dyDescent="0.25">
      <c r="B63" s="299"/>
      <c r="C63" s="47" t="s">
        <v>192</v>
      </c>
      <c r="D63" s="58" t="s">
        <v>182</v>
      </c>
      <c r="E63" s="57">
        <f>E174</f>
        <v>0</v>
      </c>
      <c r="F63" s="10"/>
      <c r="G63" s="57">
        <f>G174</f>
        <v>0</v>
      </c>
      <c r="H63" s="57">
        <f>H174</f>
        <v>444.02197954798453</v>
      </c>
      <c r="I63" s="9"/>
      <c r="J63" s="9"/>
      <c r="K63" s="9"/>
      <c r="L63" s="9"/>
      <c r="M63" s="9"/>
      <c r="N63" s="9"/>
      <c r="O63" s="9"/>
      <c r="P63" s="9"/>
      <c r="Q63" s="9"/>
      <c r="R63" s="9"/>
    </row>
    <row r="64" spans="1:18" ht="15.75" customHeight="1" x14ac:dyDescent="0.25">
      <c r="B64" s="199"/>
      <c r="C64" s="200"/>
      <c r="D64" s="201"/>
      <c r="E64" s="202"/>
      <c r="F64" s="9"/>
      <c r="G64" s="202"/>
      <c r="H64" s="202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ht="15.75" customHeight="1" x14ac:dyDescent="0.25">
      <c r="B65" s="299" t="s">
        <v>179</v>
      </c>
      <c r="C65" s="137" t="s">
        <v>208</v>
      </c>
      <c r="D65" s="196" t="s">
        <v>201</v>
      </c>
      <c r="E65" s="57">
        <f>E179</f>
        <v>419.3663374640916</v>
      </c>
      <c r="F65" s="10"/>
      <c r="G65" s="57">
        <f>G179</f>
        <v>0</v>
      </c>
      <c r="H65" s="57">
        <f>H179</f>
        <v>0</v>
      </c>
      <c r="I65" s="9"/>
      <c r="J65" s="9"/>
      <c r="K65" s="9"/>
      <c r="L65" s="9"/>
      <c r="M65" s="9"/>
      <c r="N65" s="9"/>
      <c r="O65" s="9"/>
      <c r="P65" s="9"/>
      <c r="Q65" s="9"/>
      <c r="R65" s="9"/>
    </row>
    <row r="66" spans="1:18" ht="15.75" customHeight="1" x14ac:dyDescent="0.25">
      <c r="B66" s="299"/>
      <c r="C66" s="137" t="s">
        <v>205</v>
      </c>
      <c r="D66" s="196" t="s">
        <v>201</v>
      </c>
      <c r="E66" s="59">
        <f>E186</f>
        <v>3.6559358427134718</v>
      </c>
      <c r="F66" s="10"/>
      <c r="G66" s="59">
        <f>G186</f>
        <v>0</v>
      </c>
      <c r="H66" s="59">
        <f>H186</f>
        <v>0</v>
      </c>
      <c r="I66" s="9"/>
      <c r="J66" s="9"/>
      <c r="K66" s="9"/>
      <c r="L66" s="9"/>
      <c r="M66" s="9"/>
      <c r="N66" s="9"/>
      <c r="O66" s="9"/>
      <c r="P66" s="9"/>
      <c r="Q66" s="9"/>
      <c r="R66" s="9"/>
    </row>
    <row r="67" spans="1:18" ht="15.75" customHeight="1" x14ac:dyDescent="0.25">
      <c r="B67" s="299"/>
      <c r="C67" s="48" t="s">
        <v>207</v>
      </c>
      <c r="D67" s="196" t="s">
        <v>201</v>
      </c>
      <c r="E67" s="57">
        <f>E188</f>
        <v>415.71040162137814</v>
      </c>
      <c r="F67" s="10"/>
      <c r="G67" s="57">
        <f t="shared" ref="G67:H68" si="5">G188</f>
        <v>0</v>
      </c>
      <c r="H67" s="57">
        <f t="shared" si="5"/>
        <v>0</v>
      </c>
      <c r="I67" s="9"/>
      <c r="J67" s="9"/>
      <c r="K67" s="9"/>
      <c r="L67" s="9"/>
      <c r="M67" s="9"/>
      <c r="N67" s="9"/>
      <c r="O67" s="9"/>
      <c r="P67" s="9"/>
      <c r="Q67" s="9"/>
      <c r="R67" s="9"/>
    </row>
    <row r="68" spans="1:18" ht="15.75" customHeight="1" x14ac:dyDescent="0.25">
      <c r="B68" s="299"/>
      <c r="C68" s="48" t="s">
        <v>192</v>
      </c>
      <c r="D68" s="58" t="s">
        <v>182</v>
      </c>
      <c r="E68" s="57">
        <f>E189</f>
        <v>71087.121581706</v>
      </c>
      <c r="F68" s="10"/>
      <c r="G68" s="57">
        <f t="shared" si="5"/>
        <v>0</v>
      </c>
      <c r="H68" s="57">
        <f t="shared" si="5"/>
        <v>0</v>
      </c>
      <c r="I68" s="9"/>
      <c r="J68" s="9"/>
      <c r="K68" s="9"/>
      <c r="L68" s="9"/>
      <c r="M68" s="9"/>
      <c r="N68" s="9"/>
      <c r="O68" s="9"/>
      <c r="P68" s="9"/>
      <c r="Q68" s="9"/>
      <c r="R68" s="9"/>
    </row>
    <row r="69" spans="1:18" ht="15.75" customHeight="1" x14ac:dyDescent="0.25">
      <c r="A69" s="31"/>
      <c r="B69" s="44"/>
      <c r="C69" s="45"/>
      <c r="D69" s="60"/>
      <c r="E69" s="57"/>
      <c r="F69" s="32"/>
      <c r="G69" s="57"/>
      <c r="H69" s="57"/>
      <c r="I69" s="9"/>
      <c r="J69" s="9"/>
      <c r="K69" s="9"/>
      <c r="L69" s="9"/>
      <c r="M69" s="9"/>
      <c r="N69" s="9"/>
      <c r="O69" s="9"/>
      <c r="P69" s="9"/>
      <c r="Q69" s="9"/>
      <c r="R69" s="9"/>
    </row>
    <row r="70" spans="1:18" ht="15.75" customHeight="1" x14ac:dyDescent="0.25">
      <c r="B70" s="300" t="s">
        <v>47</v>
      </c>
      <c r="C70" s="16" t="s">
        <v>61</v>
      </c>
      <c r="D70" s="61" t="s">
        <v>2</v>
      </c>
      <c r="E70" s="62">
        <f>(E6/58.4)*0.0821*(273+E14)*2</f>
        <v>234.60356164383566</v>
      </c>
      <c r="F70" s="9"/>
      <c r="G70" s="62">
        <f>(G6/58.4)*0.0821*(273+G14)*2</f>
        <v>234.60356164383566</v>
      </c>
      <c r="H70" s="62">
        <f>(H6/58.4)*0.0821*(273+H14)*2</f>
        <v>234.60356164383566</v>
      </c>
      <c r="I70" s="9"/>
      <c r="J70" s="9"/>
      <c r="K70" s="9"/>
      <c r="L70" s="9"/>
      <c r="M70" s="9"/>
      <c r="N70" s="9"/>
      <c r="O70" s="9"/>
      <c r="P70" s="9"/>
      <c r="Q70" s="9"/>
      <c r="R70" s="9"/>
    </row>
    <row r="71" spans="1:18" ht="15.75" customHeight="1" x14ac:dyDescent="0.25">
      <c r="B71" s="301"/>
      <c r="C71" s="17" t="s">
        <v>62</v>
      </c>
      <c r="D71" s="61" t="s">
        <v>2</v>
      </c>
      <c r="E71" s="62">
        <f>(E78/58.4)*0.0821*(273+E14)*2</f>
        <v>140.76213698630139</v>
      </c>
      <c r="F71" s="9"/>
      <c r="G71" s="62">
        <f>(G78/58.4)*0.0821*(273+G14)*2</f>
        <v>140.76213698630139</v>
      </c>
      <c r="H71" s="62">
        <f>(H78/58.4)*0.0821*(273+H14)*2</f>
        <v>140.76213698630139</v>
      </c>
      <c r="I71" s="9"/>
      <c r="J71" s="9"/>
      <c r="K71" s="9"/>
      <c r="L71" s="9"/>
      <c r="M71" s="9"/>
      <c r="N71" s="9"/>
      <c r="O71" s="9"/>
      <c r="P71" s="9"/>
      <c r="Q71" s="9"/>
      <c r="R71" s="9"/>
    </row>
    <row r="72" spans="1:18" ht="15.75" customHeight="1" x14ac:dyDescent="0.25">
      <c r="B72" s="301"/>
      <c r="C72" s="17" t="s">
        <v>63</v>
      </c>
      <c r="D72" s="61" t="s">
        <v>2</v>
      </c>
      <c r="E72" s="62">
        <f>(E70+E71)/2</f>
        <v>187.68284931506852</v>
      </c>
      <c r="F72" s="9"/>
      <c r="G72" s="62">
        <f>(G70+G71)/2</f>
        <v>187.68284931506852</v>
      </c>
      <c r="H72" s="62">
        <f>(H70+H71)/2</f>
        <v>187.68284931506852</v>
      </c>
      <c r="I72" s="9"/>
      <c r="J72" s="9"/>
      <c r="K72" s="9"/>
      <c r="L72" s="9"/>
      <c r="M72" s="9"/>
      <c r="N72" s="9"/>
      <c r="O72" s="9"/>
      <c r="P72" s="9"/>
      <c r="Q72" s="9"/>
      <c r="R72" s="9"/>
    </row>
    <row r="73" spans="1:18" ht="15.75" customHeight="1" x14ac:dyDescent="0.25">
      <c r="B73" s="301"/>
      <c r="C73" s="17" t="s">
        <v>64</v>
      </c>
      <c r="D73" s="61" t="s">
        <v>1</v>
      </c>
      <c r="E73" s="63">
        <f>density(E14,E6)</f>
        <v>1.2102454244737502</v>
      </c>
      <c r="F73" s="9"/>
      <c r="G73" s="63">
        <f>density(G14,G6)</f>
        <v>1.2102454244737502</v>
      </c>
      <c r="H73" s="63">
        <f>density(H14,H6)</f>
        <v>1.2102454244737502</v>
      </c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ht="15.75" customHeight="1" x14ac:dyDescent="0.25">
      <c r="B74" s="301"/>
      <c r="C74" s="16" t="s">
        <v>56</v>
      </c>
      <c r="D74" s="61" t="s">
        <v>85</v>
      </c>
      <c r="E74" s="62">
        <f>(E102/E8)-E102</f>
        <v>60</v>
      </c>
      <c r="F74" s="9"/>
      <c r="G74" s="62">
        <f>(G102/G8)-G102</f>
        <v>60</v>
      </c>
      <c r="H74" s="62">
        <f>(H102/H8)-H102</f>
        <v>60</v>
      </c>
      <c r="I74" s="9"/>
      <c r="J74" s="9"/>
      <c r="K74" s="9"/>
      <c r="L74" s="9"/>
      <c r="M74" s="9"/>
      <c r="N74" s="9"/>
      <c r="O74" s="9"/>
      <c r="P74" s="9"/>
      <c r="Q74" s="9"/>
      <c r="R74" s="9"/>
    </row>
    <row r="75" spans="1:18" ht="15.75" customHeight="1" x14ac:dyDescent="0.25">
      <c r="B75" s="301"/>
      <c r="C75" s="16" t="s">
        <v>68</v>
      </c>
      <c r="D75" s="61" t="s">
        <v>2</v>
      </c>
      <c r="E75" s="63">
        <f>E7+0.5*E17</f>
        <v>60.375</v>
      </c>
      <c r="F75" s="9"/>
      <c r="G75" s="63">
        <f>G7+0.5*G17</f>
        <v>60.375</v>
      </c>
      <c r="H75" s="63">
        <f>H7+0.5*H17</f>
        <v>60.375</v>
      </c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1:18" ht="15.75" customHeight="1" x14ac:dyDescent="0.25">
      <c r="B76" s="301"/>
      <c r="C76" s="16" t="s">
        <v>69</v>
      </c>
      <c r="D76" s="61" t="s">
        <v>2</v>
      </c>
      <c r="E76" s="63">
        <f>E7-(0.5*E17)</f>
        <v>59.625</v>
      </c>
      <c r="F76" s="9"/>
      <c r="G76" s="63">
        <f>G7-(0.5*G17)</f>
        <v>59.625</v>
      </c>
      <c r="H76" s="63">
        <f>H7-(0.5*H17)</f>
        <v>59.625</v>
      </c>
      <c r="I76" s="9"/>
      <c r="J76" s="9"/>
      <c r="K76" s="9"/>
      <c r="L76" s="9"/>
      <c r="M76" s="9"/>
      <c r="N76" s="9"/>
      <c r="O76" s="9"/>
      <c r="P76" s="9"/>
      <c r="Q76" s="9"/>
      <c r="R76" s="9"/>
    </row>
    <row r="77" spans="1:18" ht="15.75" customHeight="1" x14ac:dyDescent="0.25">
      <c r="B77" s="301"/>
      <c r="C77" s="16" t="s">
        <v>153</v>
      </c>
      <c r="D77" s="61" t="s">
        <v>85</v>
      </c>
      <c r="E77" s="62">
        <f>E74+E102</f>
        <v>100</v>
      </c>
      <c r="F77" s="9"/>
      <c r="G77" s="62">
        <f>G74+G102</f>
        <v>100</v>
      </c>
      <c r="H77" s="62">
        <f>H74+H102</f>
        <v>100</v>
      </c>
      <c r="I77" s="9"/>
      <c r="J77" s="9"/>
      <c r="K77" s="9"/>
      <c r="L77" s="9"/>
      <c r="M77" s="9"/>
      <c r="N77" s="9"/>
      <c r="O77" s="9"/>
      <c r="P77" s="9"/>
      <c r="Q77" s="9"/>
      <c r="R77" s="9"/>
    </row>
    <row r="78" spans="1:18" ht="15.75" customHeight="1" x14ac:dyDescent="0.25">
      <c r="B78" s="301"/>
      <c r="C78" s="16" t="s">
        <v>168</v>
      </c>
      <c r="D78" s="61" t="s">
        <v>0</v>
      </c>
      <c r="E78" s="64">
        <f>(E6*E74)/E77</f>
        <v>168</v>
      </c>
      <c r="F78" s="9"/>
      <c r="G78" s="64">
        <f>(G6*G74)/G77</f>
        <v>168</v>
      </c>
      <c r="H78" s="64">
        <f>(H6*H74)/H77</f>
        <v>168</v>
      </c>
      <c r="I78" s="9"/>
      <c r="J78" s="9"/>
      <c r="K78" s="9"/>
      <c r="L78" s="9"/>
      <c r="M78" s="9"/>
      <c r="N78" s="9"/>
      <c r="O78" s="9"/>
      <c r="P78" s="9"/>
      <c r="Q78" s="9"/>
      <c r="R78" s="9"/>
    </row>
    <row r="79" spans="1:18" ht="15.75" customHeight="1" x14ac:dyDescent="0.25">
      <c r="B79" s="301"/>
      <c r="C79" s="16" t="s">
        <v>169</v>
      </c>
      <c r="D79" s="61" t="s">
        <v>1</v>
      </c>
      <c r="E79" s="63">
        <f>density(E14,E78)</f>
        <v>1.1249043803105498</v>
      </c>
      <c r="F79" s="9"/>
      <c r="G79" s="63">
        <f>density(G14,G78)</f>
        <v>1.1249043803105498</v>
      </c>
      <c r="H79" s="63">
        <f>density(H14,H78)</f>
        <v>1.1249043803105498</v>
      </c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ht="15.75" customHeight="1" x14ac:dyDescent="0.25">
      <c r="B80" s="302"/>
      <c r="C80" s="17" t="s">
        <v>174</v>
      </c>
      <c r="D80" s="191" t="s">
        <v>2</v>
      </c>
      <c r="E80" s="64">
        <f>(E72+E90)/2</f>
        <v>113.39172146118723</v>
      </c>
      <c r="F80" s="192"/>
      <c r="G80" s="64">
        <f>(G72+G90)/2</f>
        <v>113.39172146118723</v>
      </c>
      <c r="H80" s="64">
        <f>(H72+H90)/2</f>
        <v>113.39172146118723</v>
      </c>
      <c r="I80" s="9"/>
      <c r="J80" s="9"/>
      <c r="K80" s="9"/>
      <c r="L80" s="9"/>
      <c r="M80" s="9"/>
      <c r="N80" s="9"/>
      <c r="O80" s="9"/>
      <c r="P80" s="9"/>
      <c r="Q80" s="9"/>
      <c r="R80" s="9"/>
    </row>
    <row r="81" spans="2:18" ht="15.75" customHeight="1" x14ac:dyDescent="0.25">
      <c r="C81" s="10"/>
      <c r="D81" s="65"/>
      <c r="E81" s="66"/>
      <c r="F81" s="31"/>
      <c r="G81" s="66"/>
      <c r="H81" s="66"/>
      <c r="I81" s="9"/>
      <c r="J81" s="9"/>
      <c r="K81" s="9"/>
      <c r="L81" s="9"/>
      <c r="M81" s="9"/>
      <c r="N81" s="9"/>
      <c r="O81" s="9"/>
      <c r="P81" s="9"/>
      <c r="Q81" s="9"/>
      <c r="R81" s="9"/>
    </row>
    <row r="82" spans="2:18" ht="15.75" customHeight="1" x14ac:dyDescent="0.25">
      <c r="B82" s="303" t="s">
        <v>65</v>
      </c>
      <c r="C82" s="27" t="s">
        <v>20</v>
      </c>
      <c r="D82" s="67" t="s">
        <v>0</v>
      </c>
      <c r="E82" s="70">
        <f>E9</f>
        <v>35</v>
      </c>
      <c r="F82" s="9"/>
      <c r="G82" s="70">
        <f>G9</f>
        <v>35</v>
      </c>
      <c r="H82" s="70">
        <f>H9</f>
        <v>35</v>
      </c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2:18" ht="15.75" customHeight="1" x14ac:dyDescent="0.25">
      <c r="B83" s="303"/>
      <c r="C83" s="27" t="s">
        <v>29</v>
      </c>
      <c r="D83" s="67" t="s">
        <v>1</v>
      </c>
      <c r="E83" s="69">
        <f>density(E14,E82)</f>
        <v>1.0235615618692187</v>
      </c>
      <c r="F83" s="9"/>
      <c r="G83" s="69">
        <f>density(G14,G82)</f>
        <v>1.0235615618692187</v>
      </c>
      <c r="H83" s="69">
        <f>density(H14,H82)</f>
        <v>1.0235615618692187</v>
      </c>
      <c r="I83" s="9"/>
      <c r="J83" s="9"/>
      <c r="K83" s="9"/>
      <c r="L83" s="9"/>
      <c r="M83" s="9"/>
      <c r="N83" s="9"/>
      <c r="O83" s="9"/>
      <c r="P83" s="9"/>
      <c r="Q83" s="9"/>
      <c r="R83" s="9"/>
    </row>
    <row r="84" spans="2:18" ht="18" x14ac:dyDescent="0.25">
      <c r="B84" s="303"/>
      <c r="C84" s="27" t="s">
        <v>27</v>
      </c>
      <c r="D84" s="67" t="s">
        <v>116</v>
      </c>
      <c r="E84" s="68">
        <f>E10</f>
        <v>100</v>
      </c>
      <c r="F84" s="28"/>
      <c r="G84" s="68">
        <f>G10</f>
        <v>100</v>
      </c>
      <c r="H84" s="68">
        <f>H10</f>
        <v>100</v>
      </c>
      <c r="I84" s="9"/>
      <c r="J84" s="9"/>
      <c r="K84" s="9"/>
      <c r="L84" s="9"/>
      <c r="M84" s="9"/>
      <c r="N84" s="9"/>
      <c r="O84" s="9"/>
      <c r="P84" s="9"/>
      <c r="Q84" s="9"/>
      <c r="R84" s="9"/>
    </row>
    <row r="85" spans="2:18" x14ac:dyDescent="0.25">
      <c r="B85" s="303"/>
      <c r="C85" s="27" t="s">
        <v>70</v>
      </c>
      <c r="D85" s="67" t="s">
        <v>2</v>
      </c>
      <c r="E85" s="69">
        <f>E21+E17</f>
        <v>1.75</v>
      </c>
      <c r="F85" s="28"/>
      <c r="G85" s="69">
        <f>G21+G17</f>
        <v>1.75</v>
      </c>
      <c r="H85" s="69">
        <f>H21+H17</f>
        <v>1.75</v>
      </c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2:18" x14ac:dyDescent="0.25">
      <c r="B86" s="303"/>
      <c r="C86" s="27" t="s">
        <v>30</v>
      </c>
      <c r="D86" s="67" t="s">
        <v>2</v>
      </c>
      <c r="E86" s="68">
        <f>(E82/58.4)*0.0821*(273+E14)*2</f>
        <v>29.325445205479458</v>
      </c>
      <c r="F86" s="28"/>
      <c r="G86" s="68">
        <f>(G82/58.4)*0.0821*(273+G14)*2</f>
        <v>29.325445205479458</v>
      </c>
      <c r="H86" s="68">
        <f>(H82/58.4)*0.0821*(273+H14)*2</f>
        <v>29.325445205479458</v>
      </c>
      <c r="I86" s="9"/>
      <c r="J86" s="9"/>
      <c r="K86" s="9"/>
      <c r="L86" s="9"/>
      <c r="M86" s="9"/>
      <c r="N86" s="9"/>
      <c r="O86" s="9"/>
      <c r="P86" s="9"/>
      <c r="Q86" s="9"/>
      <c r="R86" s="9"/>
    </row>
    <row r="87" spans="2:18" x14ac:dyDescent="0.25">
      <c r="B87" s="303"/>
      <c r="C87" s="27" t="s">
        <v>117</v>
      </c>
      <c r="D87" s="67" t="s">
        <v>2</v>
      </c>
      <c r="E87" s="69">
        <f>E21+(0.5*E17)</f>
        <v>1.375</v>
      </c>
      <c r="F87" s="28"/>
      <c r="G87" s="69">
        <f>G21+(0.5*G17)</f>
        <v>1.375</v>
      </c>
      <c r="H87" s="69">
        <f>H21+(0.5*H17)</f>
        <v>1.375</v>
      </c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2:18" x14ac:dyDescent="0.25">
      <c r="B88" s="303"/>
      <c r="C88" s="27" t="s">
        <v>21</v>
      </c>
      <c r="D88" s="71" t="s">
        <v>22</v>
      </c>
      <c r="E88" s="72">
        <f>E11</f>
        <v>0.4</v>
      </c>
      <c r="F88" s="28"/>
      <c r="G88" s="72">
        <f>G11</f>
        <v>0.4</v>
      </c>
      <c r="H88" s="72">
        <f>H11</f>
        <v>0.4</v>
      </c>
      <c r="I88" s="9"/>
      <c r="J88" s="9"/>
      <c r="K88" s="9"/>
      <c r="L88" s="9"/>
      <c r="M88" s="9"/>
      <c r="N88" s="9"/>
      <c r="O88" s="9"/>
      <c r="P88" s="9"/>
      <c r="Q88" s="9"/>
      <c r="R88" s="9"/>
    </row>
    <row r="89" spans="2:18" x14ac:dyDescent="0.25">
      <c r="B89" s="303"/>
      <c r="C89" s="27" t="s">
        <v>31</v>
      </c>
      <c r="D89" s="67" t="s">
        <v>2</v>
      </c>
      <c r="E89" s="73">
        <f>E86/(1-E88)</f>
        <v>48.875742009132431</v>
      </c>
      <c r="F89" s="28"/>
      <c r="G89" s="73">
        <f>G86/(1-G88)</f>
        <v>48.875742009132431</v>
      </c>
      <c r="H89" s="73">
        <f>H86/(1-H88)</f>
        <v>48.875742009132431</v>
      </c>
      <c r="I89" s="9"/>
      <c r="J89" s="9"/>
      <c r="K89" s="9"/>
      <c r="L89" s="9"/>
      <c r="M89" s="9"/>
      <c r="N89" s="9"/>
      <c r="O89" s="9"/>
      <c r="P89" s="9"/>
      <c r="Q89" s="9"/>
      <c r="R89" s="9"/>
    </row>
    <row r="90" spans="2:18" x14ac:dyDescent="0.25">
      <c r="B90" s="303"/>
      <c r="C90" s="27" t="s">
        <v>32</v>
      </c>
      <c r="D90" s="67" t="s">
        <v>2</v>
      </c>
      <c r="E90" s="68">
        <f>(E86+E89)/2</f>
        <v>39.100593607305946</v>
      </c>
      <c r="F90" s="28"/>
      <c r="G90" s="68">
        <f>(G86+G89)/2</f>
        <v>39.100593607305946</v>
      </c>
      <c r="H90" s="68">
        <f>(H86+H89)/2</f>
        <v>39.100593607305946</v>
      </c>
      <c r="I90" s="9"/>
      <c r="J90" s="9"/>
      <c r="K90" s="9"/>
      <c r="L90" s="9"/>
      <c r="M90" s="9"/>
      <c r="N90" s="9"/>
      <c r="O90" s="9"/>
      <c r="P90" s="9"/>
      <c r="Q90" s="9"/>
      <c r="R90" s="9"/>
    </row>
    <row r="91" spans="2:18" ht="18" x14ac:dyDescent="0.25">
      <c r="B91" s="303"/>
      <c r="C91" s="29" t="s">
        <v>45</v>
      </c>
      <c r="D91" s="67" t="s">
        <v>116</v>
      </c>
      <c r="E91" s="68">
        <f>E10-E102</f>
        <v>60</v>
      </c>
      <c r="F91" s="28"/>
      <c r="G91" s="68">
        <f>G10-G102</f>
        <v>60</v>
      </c>
      <c r="H91" s="68">
        <f>H10-H102</f>
        <v>60</v>
      </c>
      <c r="I91" s="9"/>
      <c r="J91" s="9"/>
      <c r="K91" s="9"/>
      <c r="L91" s="9"/>
      <c r="M91" s="9"/>
      <c r="N91" s="9"/>
      <c r="O91" s="9"/>
      <c r="P91" s="9"/>
      <c r="Q91" s="9"/>
      <c r="R91" s="9"/>
    </row>
    <row r="92" spans="2:18" x14ac:dyDescent="0.25">
      <c r="B92" s="303"/>
      <c r="C92" s="29" t="s">
        <v>71</v>
      </c>
      <c r="D92" s="67" t="s">
        <v>2</v>
      </c>
      <c r="E92" s="69">
        <f>E21</f>
        <v>1</v>
      </c>
      <c r="F92" s="28"/>
      <c r="G92" s="69">
        <f>G21</f>
        <v>1</v>
      </c>
      <c r="H92" s="69">
        <f>H21</f>
        <v>1</v>
      </c>
      <c r="I92" s="9"/>
      <c r="J92" s="9"/>
      <c r="K92" s="9"/>
      <c r="L92" s="9"/>
      <c r="M92" s="9"/>
      <c r="N92" s="9"/>
      <c r="O92" s="9"/>
      <c r="P92" s="9"/>
      <c r="Q92" s="9"/>
      <c r="R92" s="9"/>
    </row>
    <row r="93" spans="2:18" x14ac:dyDescent="0.25">
      <c r="B93" s="303"/>
      <c r="C93" s="27" t="s">
        <v>52</v>
      </c>
      <c r="D93" s="67" t="s">
        <v>1</v>
      </c>
      <c r="E93" s="69">
        <f>density(E14,E94)</f>
        <v>1.0413410294978298</v>
      </c>
      <c r="F93" s="28"/>
      <c r="G93" s="69">
        <f>density(G14,G94)</f>
        <v>1.0413410294978298</v>
      </c>
      <c r="H93" s="69">
        <f>density(H14,H94)</f>
        <v>1.0413410294978298</v>
      </c>
      <c r="I93" s="9"/>
      <c r="J93" s="9"/>
      <c r="K93" s="9"/>
      <c r="L93" s="9"/>
      <c r="M93" s="9"/>
      <c r="N93" s="9"/>
      <c r="O93" s="9"/>
      <c r="P93" s="9"/>
      <c r="Q93" s="9"/>
      <c r="R93" s="9"/>
    </row>
    <row r="94" spans="2:18" x14ac:dyDescent="0.25">
      <c r="B94" s="303"/>
      <c r="C94" s="27" t="s">
        <v>57</v>
      </c>
      <c r="D94" s="71" t="s">
        <v>0</v>
      </c>
      <c r="E94" s="70">
        <f>E82/(1-E88)</f>
        <v>58.333333333333336</v>
      </c>
      <c r="F94" s="28"/>
      <c r="G94" s="70">
        <f>G82/(1-G88)</f>
        <v>58.333333333333336</v>
      </c>
      <c r="H94" s="70">
        <f>H82/(1-H88)</f>
        <v>58.333333333333336</v>
      </c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2:18" x14ac:dyDescent="0.25">
      <c r="B95" s="138"/>
      <c r="C95" s="139"/>
      <c r="D95" s="140"/>
      <c r="E95" s="141"/>
      <c r="F95" s="28"/>
      <c r="G95" s="141"/>
      <c r="H95" s="141"/>
      <c r="I95" s="9"/>
      <c r="J95" s="9"/>
      <c r="K95" s="9"/>
      <c r="L95" s="9"/>
      <c r="M95" s="9"/>
      <c r="N95" s="9"/>
      <c r="O95" s="9"/>
      <c r="P95" s="9"/>
      <c r="Q95" s="9"/>
      <c r="R95" s="9"/>
    </row>
    <row r="96" spans="2:18" x14ac:dyDescent="0.25">
      <c r="B96" s="304" t="s">
        <v>67</v>
      </c>
      <c r="C96" s="14" t="s">
        <v>72</v>
      </c>
      <c r="D96" s="76" t="s">
        <v>3</v>
      </c>
      <c r="E96" s="77">
        <f>E72-E90</f>
        <v>148.58225570776258</v>
      </c>
      <c r="F96" s="9"/>
      <c r="G96" s="77">
        <f>G72-G90</f>
        <v>148.58225570776258</v>
      </c>
      <c r="H96" s="77">
        <f>H72-H90</f>
        <v>148.58225570776258</v>
      </c>
      <c r="I96" s="9"/>
      <c r="J96" s="9"/>
      <c r="K96" s="9"/>
      <c r="L96" s="9"/>
      <c r="M96" s="9"/>
      <c r="N96" s="9"/>
      <c r="O96" s="9"/>
      <c r="P96" s="9"/>
      <c r="Q96" s="9"/>
      <c r="R96" s="9"/>
    </row>
    <row r="97" spans="2:18" x14ac:dyDescent="0.25">
      <c r="B97" s="304"/>
      <c r="C97" s="14" t="s">
        <v>110</v>
      </c>
      <c r="D97" s="76" t="s">
        <v>2</v>
      </c>
      <c r="E97" s="77">
        <f>E7-E87</f>
        <v>58.625</v>
      </c>
      <c r="F97" s="9"/>
      <c r="G97" s="77">
        <f>G7-G87</f>
        <v>58.625</v>
      </c>
      <c r="H97" s="80">
        <f>H7-H87</f>
        <v>58.625</v>
      </c>
      <c r="I97" s="9"/>
      <c r="J97" s="9"/>
      <c r="K97" s="9"/>
      <c r="L97" s="9"/>
      <c r="M97" s="9"/>
      <c r="N97" s="9"/>
      <c r="O97" s="9"/>
      <c r="P97" s="9"/>
      <c r="Q97" s="9"/>
      <c r="R97" s="9"/>
    </row>
    <row r="98" spans="2:18" x14ac:dyDescent="0.25">
      <c r="B98" s="304"/>
      <c r="C98" s="14" t="s">
        <v>6</v>
      </c>
      <c r="D98" s="76" t="s">
        <v>2</v>
      </c>
      <c r="E98" s="77">
        <f>E96-E97</f>
        <v>89.957255707762585</v>
      </c>
      <c r="F98" s="9"/>
      <c r="G98" s="77">
        <f>G96-G97</f>
        <v>89.957255707762585</v>
      </c>
      <c r="H98" s="80">
        <f>H96-H97</f>
        <v>89.957255707762585</v>
      </c>
      <c r="I98" s="9"/>
      <c r="J98" s="9"/>
      <c r="K98" s="9"/>
      <c r="L98" s="9"/>
      <c r="M98" s="9"/>
      <c r="N98" s="9"/>
      <c r="O98" s="9"/>
      <c r="P98" s="9"/>
      <c r="Q98" s="9"/>
      <c r="R98" s="9"/>
    </row>
    <row r="99" spans="2:18" ht="17.25" x14ac:dyDescent="0.25">
      <c r="B99" s="304"/>
      <c r="C99" s="14" t="s">
        <v>24</v>
      </c>
      <c r="D99" s="76" t="s">
        <v>73</v>
      </c>
      <c r="E99" s="78">
        <f>E15</f>
        <v>0.31</v>
      </c>
      <c r="F99" s="9"/>
      <c r="G99" s="78">
        <f>G15</f>
        <v>0.31</v>
      </c>
      <c r="H99" s="78">
        <f>H15</f>
        <v>0.31</v>
      </c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2:18" ht="17.25" x14ac:dyDescent="0.25">
      <c r="B100" s="304"/>
      <c r="C100" s="14" t="s">
        <v>33</v>
      </c>
      <c r="D100" s="79" t="s">
        <v>74</v>
      </c>
      <c r="E100" s="80">
        <f>E99*E98</f>
        <v>27.886749269406401</v>
      </c>
      <c r="F100" s="9"/>
      <c r="G100" s="80">
        <f>G99*G98</f>
        <v>27.886749269406401</v>
      </c>
      <c r="H100" s="80">
        <f>H99*H98</f>
        <v>27.886749269406401</v>
      </c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2:18" ht="17.25" x14ac:dyDescent="0.25">
      <c r="B101" s="304"/>
      <c r="C101" s="14" t="s">
        <v>4</v>
      </c>
      <c r="D101" s="76" t="s">
        <v>75</v>
      </c>
      <c r="E101" s="77">
        <f>E102*1000/E100</f>
        <v>1434.3729924764889</v>
      </c>
      <c r="F101" s="9"/>
      <c r="G101" s="77">
        <f>G102*1000/G100</f>
        <v>1434.3729924764889</v>
      </c>
      <c r="H101" s="77">
        <f>H102*1000/H100</f>
        <v>1434.3729924764889</v>
      </c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2:18" ht="18" x14ac:dyDescent="0.25">
      <c r="B102" s="304"/>
      <c r="C102" s="14" t="s">
        <v>7</v>
      </c>
      <c r="D102" s="76" t="s">
        <v>86</v>
      </c>
      <c r="E102" s="77">
        <f>E10*E11</f>
        <v>40</v>
      </c>
      <c r="F102" s="9"/>
      <c r="G102" s="77">
        <f>G10*G11</f>
        <v>40</v>
      </c>
      <c r="H102" s="77">
        <f>H10*H11</f>
        <v>40</v>
      </c>
      <c r="I102" s="9"/>
      <c r="J102" s="9"/>
      <c r="K102" s="9"/>
      <c r="L102" s="9"/>
      <c r="M102" s="9"/>
      <c r="N102" s="9"/>
      <c r="O102" s="9"/>
      <c r="P102" s="9"/>
      <c r="Q102" s="9"/>
      <c r="R102" s="9"/>
    </row>
    <row r="103" spans="2:18" x14ac:dyDescent="0.25">
      <c r="C103" s="10"/>
      <c r="D103" s="74"/>
      <c r="E103" s="75"/>
      <c r="F103" s="28"/>
      <c r="G103" s="75"/>
      <c r="H103" s="75"/>
      <c r="I103" s="9"/>
      <c r="J103" s="9"/>
      <c r="K103" s="9"/>
      <c r="L103" s="9"/>
      <c r="M103" s="9"/>
      <c r="N103" s="9"/>
      <c r="O103" s="9"/>
      <c r="P103" s="9"/>
      <c r="Q103" s="9"/>
      <c r="R103" s="9"/>
    </row>
    <row r="104" spans="2:18" ht="18" x14ac:dyDescent="0.25">
      <c r="B104" s="291" t="s">
        <v>66</v>
      </c>
      <c r="C104" s="15" t="s">
        <v>4</v>
      </c>
      <c r="D104" s="81" t="s">
        <v>76</v>
      </c>
      <c r="E104" s="82">
        <f>E101</f>
        <v>1434.3729924764889</v>
      </c>
      <c r="F104" s="28"/>
      <c r="G104" s="82">
        <f>G101</f>
        <v>1434.3729924764889</v>
      </c>
      <c r="H104" s="82">
        <f>H101</f>
        <v>1434.3729924764889</v>
      </c>
      <c r="I104" s="9"/>
      <c r="J104" s="9"/>
      <c r="K104" s="9"/>
      <c r="L104" s="9"/>
      <c r="M104" s="9"/>
      <c r="N104" s="9"/>
      <c r="O104" s="9"/>
      <c r="P104" s="9"/>
      <c r="Q104" s="9"/>
      <c r="R104" s="9"/>
    </row>
    <row r="105" spans="2:18" ht="18" x14ac:dyDescent="0.25">
      <c r="B105" s="291"/>
      <c r="C105" s="15" t="s">
        <v>89</v>
      </c>
      <c r="D105" s="81" t="s">
        <v>135</v>
      </c>
      <c r="E105" s="82">
        <f>((E6+E78)/2)-(E9+E94)/2</f>
        <v>177.33333333333331</v>
      </c>
      <c r="F105" s="9"/>
      <c r="G105" s="82">
        <f>((G6+G78)/2)-(G9+G94)/2</f>
        <v>177.33333333333331</v>
      </c>
      <c r="H105" s="82">
        <f>((H6+H78)/2)-(H9+H94)/2</f>
        <v>177.33333333333331</v>
      </c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2:18" x14ac:dyDescent="0.25">
      <c r="B106" s="291"/>
      <c r="C106" s="15" t="s">
        <v>49</v>
      </c>
      <c r="D106" s="81" t="s">
        <v>136</v>
      </c>
      <c r="E106" s="83">
        <f>E16*E104*E105/1000</f>
        <v>63.590535999791001</v>
      </c>
      <c r="F106" s="9"/>
      <c r="G106" s="83">
        <f>G16*G104*G105/1000</f>
        <v>63.590535999791001</v>
      </c>
      <c r="H106" s="83">
        <f>H16*H104*H105/1000</f>
        <v>63.590535999791001</v>
      </c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2:18" ht="18" x14ac:dyDescent="0.25">
      <c r="B107" s="291"/>
      <c r="C107" s="15" t="s">
        <v>90</v>
      </c>
      <c r="D107" s="81" t="s">
        <v>135</v>
      </c>
      <c r="E107" s="84">
        <f>E106/E77</f>
        <v>0.63590535999790998</v>
      </c>
      <c r="F107" s="9"/>
      <c r="G107" s="84">
        <f>G106/G77</f>
        <v>0.63590535999790998</v>
      </c>
      <c r="H107" s="84">
        <f>H106/H77</f>
        <v>0.63590535999790998</v>
      </c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2:18" ht="18" x14ac:dyDescent="0.25">
      <c r="B108" s="291"/>
      <c r="C108" s="15" t="s">
        <v>54</v>
      </c>
      <c r="D108" s="81" t="s">
        <v>135</v>
      </c>
      <c r="E108" s="85">
        <f>E78-E107</f>
        <v>167.36409464000209</v>
      </c>
      <c r="F108" s="9"/>
      <c r="G108" s="85">
        <f>G78-G107</f>
        <v>167.36409464000209</v>
      </c>
      <c r="H108" s="85">
        <f>H78-H107</f>
        <v>167.36409464000209</v>
      </c>
      <c r="I108" s="9"/>
      <c r="J108" s="9"/>
      <c r="K108" s="9"/>
      <c r="L108" s="9"/>
      <c r="M108" s="9"/>
      <c r="N108" s="9"/>
      <c r="O108" s="9"/>
      <c r="P108" s="9"/>
      <c r="Q108" s="9"/>
      <c r="R108" s="9"/>
    </row>
    <row r="109" spans="2:18" x14ac:dyDescent="0.25">
      <c r="B109" s="291"/>
      <c r="C109" s="15" t="s">
        <v>50</v>
      </c>
      <c r="D109" s="81" t="s">
        <v>136</v>
      </c>
      <c r="E109" s="83">
        <f>E6*E74</f>
        <v>16800</v>
      </c>
      <c r="F109" s="9"/>
      <c r="G109" s="83">
        <f>G6*G74</f>
        <v>16800</v>
      </c>
      <c r="H109" s="83">
        <f>H6*H74</f>
        <v>16800</v>
      </c>
      <c r="I109" s="9"/>
      <c r="J109" s="9"/>
      <c r="K109" s="9"/>
      <c r="L109" s="9"/>
      <c r="M109" s="9"/>
      <c r="N109" s="9"/>
      <c r="O109" s="9"/>
      <c r="P109" s="9"/>
      <c r="Q109" s="9"/>
      <c r="R109" s="9"/>
    </row>
    <row r="110" spans="2:18" x14ac:dyDescent="0.25">
      <c r="B110" s="291"/>
      <c r="C110" s="15" t="s">
        <v>51</v>
      </c>
      <c r="D110" s="81" t="s">
        <v>136</v>
      </c>
      <c r="E110" s="86">
        <f>E106/E109</f>
        <v>3.7851509523685119E-3</v>
      </c>
      <c r="F110" s="9"/>
      <c r="G110" s="86">
        <f>G106/G109</f>
        <v>3.7851509523685119E-3</v>
      </c>
      <c r="H110" s="86">
        <f>H106/H109</f>
        <v>3.7851509523685119E-3</v>
      </c>
      <c r="I110" s="9"/>
      <c r="J110" s="9"/>
      <c r="K110" s="9"/>
      <c r="L110" s="9"/>
      <c r="M110" s="9"/>
      <c r="N110" s="9"/>
      <c r="O110" s="9"/>
      <c r="P110" s="9"/>
      <c r="Q110" s="9"/>
      <c r="R110" s="9"/>
    </row>
    <row r="111" spans="2:18" ht="18" x14ac:dyDescent="0.25">
      <c r="B111" s="291"/>
      <c r="C111" s="15" t="s">
        <v>53</v>
      </c>
      <c r="D111" s="81" t="s">
        <v>135</v>
      </c>
      <c r="E111" s="85">
        <f>E106/E91</f>
        <v>1.0598422666631833</v>
      </c>
      <c r="F111" s="9"/>
      <c r="G111" s="85">
        <f>G106/G91</f>
        <v>1.0598422666631833</v>
      </c>
      <c r="H111" s="85">
        <f>H106/H91</f>
        <v>1.0598422666631833</v>
      </c>
      <c r="I111" s="9"/>
      <c r="J111" s="9"/>
      <c r="K111" s="9"/>
      <c r="L111" s="9"/>
      <c r="M111" s="9"/>
      <c r="N111" s="9"/>
      <c r="O111" s="9"/>
      <c r="P111" s="9"/>
      <c r="Q111" s="9"/>
      <c r="R111" s="9"/>
    </row>
    <row r="112" spans="2:18" ht="18" x14ac:dyDescent="0.25">
      <c r="B112" s="291"/>
      <c r="C112" s="15" t="s">
        <v>55</v>
      </c>
      <c r="D112" s="81" t="s">
        <v>135</v>
      </c>
      <c r="E112" s="85">
        <f>E111+E94</f>
        <v>59.393175599996518</v>
      </c>
      <c r="F112" s="9"/>
      <c r="G112" s="85">
        <f>G111+G94</f>
        <v>59.393175599996518</v>
      </c>
      <c r="H112" s="85">
        <f>H111+H94</f>
        <v>59.393175599996518</v>
      </c>
      <c r="I112" s="9"/>
      <c r="J112" s="9"/>
      <c r="K112" s="9"/>
      <c r="L112" s="9"/>
      <c r="M112" s="9"/>
      <c r="N112" s="9"/>
      <c r="O112" s="9"/>
      <c r="P112" s="9"/>
      <c r="Q112" s="9"/>
      <c r="R112" s="9"/>
    </row>
    <row r="113" spans="2:18" x14ac:dyDescent="0.25">
      <c r="B113" s="34"/>
      <c r="C113" s="35"/>
      <c r="D113" s="87"/>
      <c r="E113" s="88"/>
      <c r="F113" s="31"/>
      <c r="G113" s="88"/>
      <c r="H113" s="88"/>
      <c r="I113" s="9"/>
      <c r="J113" s="9"/>
      <c r="K113" s="9"/>
      <c r="L113" s="9"/>
      <c r="M113" s="9"/>
      <c r="N113" s="9"/>
      <c r="O113" s="9"/>
      <c r="P113" s="9"/>
      <c r="Q113" s="9"/>
      <c r="R113" s="9"/>
    </row>
    <row r="114" spans="2:18" x14ac:dyDescent="0.25">
      <c r="B114" s="292" t="s">
        <v>197</v>
      </c>
      <c r="C114" s="26" t="s">
        <v>39</v>
      </c>
      <c r="D114" s="89" t="s">
        <v>93</v>
      </c>
      <c r="E114" s="193">
        <f>E10*E83*9.81*(E17*10.2)/3600/E19</f>
        <v>2.667177526139525</v>
      </c>
      <c r="F114" s="11"/>
      <c r="G114" s="193">
        <f>G10*G83*9.81*(G17*10.2)/3600/G19</f>
        <v>2.667177526139525</v>
      </c>
      <c r="H114" s="193">
        <f>H10*H83*9.81*(H17*10.2)/3600/H19</f>
        <v>2.667177526139525</v>
      </c>
      <c r="I114" s="9"/>
      <c r="J114" s="9"/>
      <c r="K114" s="9"/>
      <c r="L114" s="9"/>
      <c r="M114" s="9"/>
      <c r="N114" s="9"/>
      <c r="O114" s="9"/>
      <c r="P114" s="9"/>
      <c r="Q114" s="9"/>
      <c r="R114" s="9"/>
    </row>
    <row r="115" spans="2:18" ht="18" x14ac:dyDescent="0.25">
      <c r="B115" s="292"/>
      <c r="C115" s="26" t="s">
        <v>138</v>
      </c>
      <c r="D115" s="89" t="s">
        <v>87</v>
      </c>
      <c r="E115" s="90">
        <f>IF(E35=1,0,E33*E74)</f>
        <v>0</v>
      </c>
      <c r="F115" s="11"/>
      <c r="G115" s="90">
        <f>IF(G35=1,0,G33*G74)</f>
        <v>60</v>
      </c>
      <c r="H115" s="90">
        <f>IF(H35=1,0,H33*H74)</f>
        <v>60</v>
      </c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2:18" x14ac:dyDescent="0.25">
      <c r="B116" s="292"/>
      <c r="C116" s="26" t="s">
        <v>77</v>
      </c>
      <c r="D116" s="92" t="s">
        <v>2</v>
      </c>
      <c r="E116" s="93">
        <f>IF(E35=1,0,E76)</f>
        <v>0</v>
      </c>
      <c r="F116" s="11"/>
      <c r="G116" s="93">
        <f>IF(G35=1,0,G76)</f>
        <v>59.625</v>
      </c>
      <c r="H116" s="93">
        <f>IF(H35=1,0,H76)</f>
        <v>59.625</v>
      </c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spans="2:18" x14ac:dyDescent="0.25">
      <c r="B117" s="292"/>
      <c r="C117" s="26" t="s">
        <v>8</v>
      </c>
      <c r="D117" s="92" t="s">
        <v>22</v>
      </c>
      <c r="E117" s="94">
        <f>IF(E35=1,0,E23)</f>
        <v>0</v>
      </c>
      <c r="F117" s="11"/>
      <c r="G117" s="94">
        <f>IF(G35=1,0,G23)</f>
        <v>0.92</v>
      </c>
      <c r="H117" s="94">
        <f>IF(H35=1,0,H23)</f>
        <v>0.92</v>
      </c>
      <c r="I117" s="9"/>
      <c r="J117" s="9"/>
      <c r="K117" s="9"/>
      <c r="L117" s="9"/>
      <c r="M117" s="9"/>
      <c r="N117" s="9"/>
      <c r="O117" s="9"/>
      <c r="P117" s="9"/>
      <c r="Q117" s="9"/>
      <c r="R117" s="9"/>
    </row>
    <row r="118" spans="2:18" x14ac:dyDescent="0.25">
      <c r="B118" s="292"/>
      <c r="C118" s="26" t="s">
        <v>139</v>
      </c>
      <c r="D118" s="92" t="s">
        <v>22</v>
      </c>
      <c r="E118" s="94">
        <f>IF(E35=1,0,E79/E73)</f>
        <v>0</v>
      </c>
      <c r="F118" s="11"/>
      <c r="G118" s="94">
        <f>IF(G35=1,0,G79/G73)</f>
        <v>0.92948451410150212</v>
      </c>
      <c r="H118" s="94">
        <f>IF(H35=1,0,H79/H73)</f>
        <v>0.92948451410150212</v>
      </c>
      <c r="I118" s="9"/>
      <c r="J118" s="9"/>
      <c r="K118" s="9"/>
      <c r="L118" s="9"/>
      <c r="M118" s="9"/>
      <c r="N118" s="9"/>
      <c r="O118" s="9"/>
      <c r="P118" s="9"/>
      <c r="Q118" s="9"/>
      <c r="R118" s="9"/>
    </row>
    <row r="119" spans="2:18" x14ac:dyDescent="0.25">
      <c r="B119" s="292"/>
      <c r="C119" s="26" t="s">
        <v>78</v>
      </c>
      <c r="D119" s="89" t="s">
        <v>2</v>
      </c>
      <c r="E119" s="95">
        <f>E33*E116*E117*E118</f>
        <v>0</v>
      </c>
      <c r="F119" s="11"/>
      <c r="G119" s="95">
        <f>G33*G116*G117*G118</f>
        <v>50.986873021037901</v>
      </c>
      <c r="H119" s="95">
        <f>H33*H116*H117*H118</f>
        <v>50.986873021037901</v>
      </c>
      <c r="I119" s="9"/>
      <c r="J119" s="9"/>
      <c r="K119" s="9"/>
      <c r="L119" s="9"/>
      <c r="M119" s="9"/>
      <c r="N119" s="9"/>
      <c r="O119" s="9"/>
      <c r="P119" s="9"/>
      <c r="Q119" s="9"/>
      <c r="R119" s="9"/>
    </row>
    <row r="120" spans="2:18" x14ac:dyDescent="0.25">
      <c r="B120" s="292"/>
      <c r="C120" s="26" t="s">
        <v>137</v>
      </c>
      <c r="D120" s="89" t="s">
        <v>2</v>
      </c>
      <c r="E120" s="91">
        <f>IF(E35=1,0,E75-E119)</f>
        <v>0</v>
      </c>
      <c r="F120" s="11"/>
      <c r="G120" s="91">
        <f>IF(G35=1,0,G75-G119)</f>
        <v>9.3881269789620987</v>
      </c>
      <c r="H120" s="91">
        <f>IF(H35=1,0,H75-H119)</f>
        <v>9.3881269789620987</v>
      </c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2:18" x14ac:dyDescent="0.25">
      <c r="B121" s="292"/>
      <c r="C121" s="26" t="s">
        <v>38</v>
      </c>
      <c r="D121" s="89" t="s">
        <v>93</v>
      </c>
      <c r="E121" s="90">
        <f>IF(E35=1,0,E74*E73*9.81*(E120*10.2)/3600/E19)</f>
        <v>0</v>
      </c>
      <c r="F121" s="11"/>
      <c r="G121" s="90">
        <f>IF(G35=1,0,G74*G73*9.81*(G120*10.2)/3600/G19)</f>
        <v>23.685379420946379</v>
      </c>
      <c r="H121" s="90">
        <f>IF(H35=1,0,H74*H73*9.81*(H120*10.2)/3600/H19)</f>
        <v>23.685379420946379</v>
      </c>
      <c r="I121" s="9"/>
      <c r="J121" s="9"/>
      <c r="K121" s="9"/>
      <c r="L121" s="9"/>
      <c r="M121" s="9"/>
      <c r="N121" s="9"/>
      <c r="O121" s="9"/>
      <c r="P121" s="9"/>
      <c r="Q121" s="9"/>
      <c r="R121" s="9"/>
    </row>
    <row r="122" spans="2:18" x14ac:dyDescent="0.25">
      <c r="B122" s="292"/>
      <c r="C122" s="26" t="s">
        <v>196</v>
      </c>
      <c r="D122" s="89" t="s">
        <v>93</v>
      </c>
      <c r="E122" s="91">
        <f>E74*E73*9.81*(E17*10.2)/3600/E19</f>
        <v>1.8921809009951935</v>
      </c>
      <c r="F122" s="11"/>
      <c r="G122" s="91">
        <f>G74*G73*9.81*(G17*10.2)/3600/G19</f>
        <v>1.8921809009951935</v>
      </c>
      <c r="H122" s="91">
        <f>H74*H73*9.81*(H17*10.2)/3600/H19</f>
        <v>1.8921809009951935</v>
      </c>
      <c r="I122" s="9"/>
      <c r="J122" s="9"/>
      <c r="K122" s="9"/>
      <c r="L122" s="9"/>
      <c r="M122" s="9"/>
      <c r="N122" s="9"/>
      <c r="O122" s="9"/>
      <c r="P122" s="9"/>
      <c r="Q122" s="9"/>
      <c r="R122" s="9"/>
    </row>
    <row r="123" spans="2:18" x14ac:dyDescent="0.25">
      <c r="B123" s="292"/>
      <c r="C123" s="137" t="s">
        <v>149</v>
      </c>
      <c r="D123" s="50" t="s">
        <v>93</v>
      </c>
      <c r="E123" s="53">
        <f>IF(E35=1,E122+E114,E121+E114)</f>
        <v>4.5593584271347183</v>
      </c>
      <c r="F123" s="10"/>
      <c r="G123" s="53">
        <f>IF(G35=1,G122+G114,G121+G114)</f>
        <v>26.352556947085905</v>
      </c>
      <c r="H123" s="53">
        <f>IF(H35=1,H122+H114,H121+H114)</f>
        <v>26.352556947085905</v>
      </c>
      <c r="I123" s="9"/>
      <c r="J123" s="9"/>
      <c r="K123" s="9"/>
      <c r="L123" s="9"/>
      <c r="M123" s="9"/>
      <c r="N123" s="9"/>
      <c r="O123" s="9"/>
      <c r="P123" s="9"/>
      <c r="Q123" s="9"/>
      <c r="R123" s="9"/>
    </row>
    <row r="124" spans="2:18" ht="18" x14ac:dyDescent="0.25">
      <c r="B124" s="292"/>
      <c r="C124" s="26" t="s">
        <v>148</v>
      </c>
      <c r="D124" s="89" t="s">
        <v>82</v>
      </c>
      <c r="E124" s="93">
        <f>(E123/E42)</f>
        <v>2.8495990169591989E-2</v>
      </c>
      <c r="F124" s="11"/>
      <c r="G124" s="93">
        <f>(G123/G42)</f>
        <v>0.16470348091928691</v>
      </c>
      <c r="H124" s="93">
        <f>(H123/H42)</f>
        <v>0.16470348091928691</v>
      </c>
      <c r="I124" s="9"/>
      <c r="J124" s="9"/>
      <c r="K124" s="9"/>
      <c r="L124" s="9"/>
      <c r="M124" s="9"/>
      <c r="N124" s="9"/>
      <c r="O124" s="9"/>
      <c r="P124" s="9"/>
      <c r="Q124" s="9"/>
      <c r="R124" s="9"/>
    </row>
    <row r="125" spans="2:18" x14ac:dyDescent="0.25">
      <c r="B125" s="292"/>
      <c r="C125" s="204" t="s">
        <v>105</v>
      </c>
      <c r="D125" s="50" t="s">
        <v>93</v>
      </c>
      <c r="E125" s="51">
        <f>E13*(E10+E74)</f>
        <v>32</v>
      </c>
      <c r="F125" s="11"/>
      <c r="G125" s="51">
        <f>G13*(G10+G74)</f>
        <v>32</v>
      </c>
      <c r="H125" s="51">
        <f>H13*(H10+H74)</f>
        <v>32</v>
      </c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2:18" x14ac:dyDescent="0.25">
      <c r="B126" s="292"/>
      <c r="C126" s="19" t="s">
        <v>26</v>
      </c>
      <c r="D126" s="89" t="s">
        <v>93</v>
      </c>
      <c r="E126" s="95">
        <f>E123+E125</f>
        <v>36.559358427134718</v>
      </c>
      <c r="F126" s="25"/>
      <c r="G126" s="95">
        <f>G123+G125</f>
        <v>58.352556947085901</v>
      </c>
      <c r="H126" s="95">
        <f>H123+H125</f>
        <v>58.352556947085901</v>
      </c>
      <c r="I126" s="9"/>
      <c r="J126" s="9"/>
      <c r="K126" s="9"/>
      <c r="L126" s="9"/>
      <c r="M126" s="9"/>
      <c r="N126" s="9"/>
      <c r="O126" s="9"/>
      <c r="P126" s="9"/>
      <c r="Q126" s="9"/>
      <c r="R126" s="9"/>
    </row>
    <row r="127" spans="2:18" ht="18" x14ac:dyDescent="0.25">
      <c r="B127" s="292"/>
      <c r="C127" s="19" t="s">
        <v>112</v>
      </c>
      <c r="D127" s="96" t="s">
        <v>87</v>
      </c>
      <c r="E127" s="90">
        <f>E74+E84</f>
        <v>160</v>
      </c>
      <c r="F127" s="11"/>
      <c r="G127" s="90">
        <f>G74+G84</f>
        <v>160</v>
      </c>
      <c r="H127" s="90">
        <f>H74+H84</f>
        <v>160</v>
      </c>
      <c r="I127" s="9"/>
      <c r="J127" s="9"/>
      <c r="K127" s="9"/>
      <c r="L127" s="9"/>
      <c r="M127" s="9"/>
      <c r="N127" s="9"/>
      <c r="O127" s="9"/>
      <c r="P127" s="9"/>
      <c r="Q127" s="9"/>
      <c r="R127" s="9"/>
    </row>
    <row r="128" spans="2:18" ht="18" x14ac:dyDescent="0.25">
      <c r="B128" s="292"/>
      <c r="C128" s="19" t="s">
        <v>81</v>
      </c>
      <c r="D128" s="97" t="s">
        <v>80</v>
      </c>
      <c r="E128" s="93">
        <f>E126/E127</f>
        <v>0.22849599016959199</v>
      </c>
      <c r="F128" s="11"/>
      <c r="G128" s="93">
        <f>G126/G127</f>
        <v>0.36470348091928689</v>
      </c>
      <c r="H128" s="93">
        <f>H126/H127</f>
        <v>0.36470348091928689</v>
      </c>
      <c r="I128" s="9"/>
      <c r="J128" s="9"/>
      <c r="K128" s="9"/>
      <c r="L128" s="9"/>
      <c r="M128" s="9"/>
      <c r="N128" s="9"/>
      <c r="O128" s="9"/>
      <c r="P128" s="9"/>
      <c r="Q128" s="9"/>
      <c r="R128" s="9"/>
    </row>
    <row r="129" spans="2:18" x14ac:dyDescent="0.25">
      <c r="B129" s="39"/>
      <c r="C129" s="33"/>
      <c r="D129" s="98"/>
      <c r="E129" s="99"/>
      <c r="F129" s="11"/>
      <c r="G129" s="99"/>
      <c r="H129" s="99"/>
      <c r="I129" s="9"/>
      <c r="J129" s="9"/>
      <c r="K129" s="9"/>
      <c r="L129" s="9"/>
      <c r="M129" s="9"/>
      <c r="N129" s="9"/>
      <c r="O129" s="9"/>
      <c r="P129" s="9"/>
      <c r="Q129" s="9"/>
      <c r="R129" s="9"/>
    </row>
    <row r="130" spans="2:18" ht="18" x14ac:dyDescent="0.25">
      <c r="B130" s="281" t="s">
        <v>43</v>
      </c>
      <c r="C130" s="40" t="s">
        <v>9</v>
      </c>
      <c r="D130" s="100" t="s">
        <v>88</v>
      </c>
      <c r="E130" s="101">
        <f>IF(E34+E35=0,E77-E115,0)</f>
        <v>0</v>
      </c>
      <c r="F130" s="11"/>
      <c r="G130" s="101">
        <f>IF(G34+G35=0,G77-G115,0)</f>
        <v>40</v>
      </c>
      <c r="H130" s="101">
        <f>IF(H34+H35=0,H77-H115,0)</f>
        <v>0</v>
      </c>
      <c r="I130" s="9"/>
      <c r="J130" s="9"/>
      <c r="K130" s="9"/>
      <c r="L130" s="9"/>
      <c r="M130" s="9"/>
      <c r="N130" s="9"/>
      <c r="O130" s="9"/>
      <c r="P130" s="9"/>
      <c r="Q130" s="9"/>
      <c r="R130" s="9"/>
    </row>
    <row r="131" spans="2:18" x14ac:dyDescent="0.25">
      <c r="B131" s="282"/>
      <c r="C131" s="40" t="s">
        <v>10</v>
      </c>
      <c r="D131" s="100" t="s">
        <v>2</v>
      </c>
      <c r="E131" s="102">
        <f>IF(E34+E35=0,E76,0)</f>
        <v>0</v>
      </c>
      <c r="F131" s="9"/>
      <c r="G131" s="102">
        <f>IF(G34+G35=0,G76,0)</f>
        <v>59.625</v>
      </c>
      <c r="H131" s="102">
        <f>IF(H34+H35=0,H76,0)</f>
        <v>0</v>
      </c>
      <c r="I131" s="9"/>
      <c r="J131" s="9"/>
      <c r="K131" s="9"/>
      <c r="L131" s="9"/>
      <c r="M131" s="9"/>
      <c r="N131" s="9"/>
      <c r="O131" s="9"/>
      <c r="P131" s="9"/>
      <c r="Q131" s="9"/>
      <c r="R131" s="9"/>
    </row>
    <row r="132" spans="2:18" x14ac:dyDescent="0.25">
      <c r="B132" s="282"/>
      <c r="C132" s="40" t="s">
        <v>11</v>
      </c>
      <c r="D132" s="100" t="s">
        <v>2</v>
      </c>
      <c r="E132" s="103">
        <f>IF(E34+E35=0,E21,0)</f>
        <v>0</v>
      </c>
      <c r="F132" s="9"/>
      <c r="G132" s="103">
        <f>IF(G34+G35=0,G21,0)</f>
        <v>1</v>
      </c>
      <c r="H132" s="103">
        <f>IF(H34+H35=0,H21,0)</f>
        <v>0</v>
      </c>
      <c r="I132" s="9"/>
      <c r="J132" s="9"/>
      <c r="K132" s="9"/>
      <c r="L132" s="9"/>
      <c r="M132" s="9"/>
      <c r="N132" s="9"/>
      <c r="O132" s="9"/>
      <c r="P132" s="9"/>
      <c r="Q132" s="9"/>
      <c r="R132" s="9"/>
    </row>
    <row r="133" spans="2:18" x14ac:dyDescent="0.25">
      <c r="B133" s="282"/>
      <c r="C133" s="40" t="s">
        <v>12</v>
      </c>
      <c r="D133" s="100" t="s">
        <v>2</v>
      </c>
      <c r="E133" s="102">
        <f>(E131-E132)</f>
        <v>0</v>
      </c>
      <c r="F133" s="9"/>
      <c r="G133" s="102">
        <f>(G131-G132)</f>
        <v>58.625</v>
      </c>
      <c r="H133" s="102">
        <f>(H131-H132)</f>
        <v>0</v>
      </c>
      <c r="I133" s="9"/>
      <c r="J133" s="9"/>
      <c r="K133" s="9"/>
      <c r="L133" s="9"/>
      <c r="M133" s="9"/>
      <c r="N133" s="9"/>
      <c r="O133" s="9"/>
      <c r="P133" s="9"/>
      <c r="Q133" s="9"/>
      <c r="R133" s="9"/>
    </row>
    <row r="134" spans="2:18" ht="17.25" customHeight="1" x14ac:dyDescent="0.25">
      <c r="B134" s="282"/>
      <c r="C134" s="40" t="s">
        <v>13</v>
      </c>
      <c r="D134" s="104" t="s">
        <v>22</v>
      </c>
      <c r="E134" s="105">
        <f>IF(E34+E35=0,E24,0)</f>
        <v>0</v>
      </c>
      <c r="F134" s="9"/>
      <c r="G134" s="105">
        <f>IF(G34+G35=0,G24,0)</f>
        <v>0.03</v>
      </c>
      <c r="H134" s="105">
        <f>IF(H34+H35=0,H24,0)</f>
        <v>0</v>
      </c>
      <c r="I134" s="9"/>
      <c r="J134" s="9"/>
      <c r="K134" s="9"/>
      <c r="L134" s="9"/>
      <c r="M134" s="9"/>
      <c r="N134" s="9"/>
      <c r="O134" s="9"/>
      <c r="P134" s="9"/>
      <c r="Q134" s="9"/>
      <c r="R134" s="9"/>
    </row>
    <row r="135" spans="2:18" x14ac:dyDescent="0.25">
      <c r="B135" s="282"/>
      <c r="C135" s="40" t="s">
        <v>14</v>
      </c>
      <c r="D135" s="100" t="s">
        <v>2</v>
      </c>
      <c r="E135" s="102">
        <f>E133*(1-E134)</f>
        <v>0</v>
      </c>
      <c r="F135" s="9"/>
      <c r="G135" s="102">
        <f>G133*(1-G134)</f>
        <v>56.866250000000001</v>
      </c>
      <c r="H135" s="102">
        <f>H133*(1-H134)</f>
        <v>0</v>
      </c>
      <c r="I135" s="9"/>
      <c r="J135" s="9"/>
      <c r="K135" s="9"/>
      <c r="L135" s="9"/>
      <c r="M135" s="9"/>
      <c r="N135" s="9"/>
      <c r="O135" s="9"/>
      <c r="P135" s="9"/>
      <c r="Q135" s="9"/>
      <c r="R135" s="9"/>
    </row>
    <row r="136" spans="2:18" x14ac:dyDescent="0.25">
      <c r="B136" s="282"/>
      <c r="C136" s="40" t="s">
        <v>15</v>
      </c>
      <c r="D136" s="100" t="s">
        <v>5</v>
      </c>
      <c r="E136" s="103">
        <f>E130*1000*E79/3600</f>
        <v>0</v>
      </c>
      <c r="F136" s="9"/>
      <c r="G136" s="103">
        <f>G130*1000*G79/3600</f>
        <v>12.498937559006109</v>
      </c>
      <c r="H136" s="103">
        <f>H130*1000*H79/3600</f>
        <v>0</v>
      </c>
      <c r="I136" s="9"/>
      <c r="J136" s="9"/>
      <c r="K136" s="9"/>
      <c r="L136" s="9"/>
      <c r="M136" s="9"/>
      <c r="N136" s="9"/>
      <c r="O136" s="9"/>
      <c r="P136" s="9"/>
      <c r="Q136" s="9"/>
      <c r="R136" s="9"/>
    </row>
    <row r="137" spans="2:18" x14ac:dyDescent="0.25">
      <c r="B137" s="282"/>
      <c r="C137" s="40" t="s">
        <v>111</v>
      </c>
      <c r="D137" s="104" t="s">
        <v>22</v>
      </c>
      <c r="E137" s="106">
        <f>IF(E34+E35=0,E25*E26*E27,0)</f>
        <v>0</v>
      </c>
      <c r="F137" s="9"/>
      <c r="G137" s="106">
        <f>IF(G34+G35=0,G25*G26*G27,0)</f>
        <v>0.75097500000000006</v>
      </c>
      <c r="H137" s="106">
        <f>IF(H34+H35=0,H25*H26*H27,0)</f>
        <v>0</v>
      </c>
      <c r="I137" s="9"/>
      <c r="J137" s="9"/>
      <c r="K137" s="9"/>
      <c r="L137" s="9"/>
      <c r="M137" s="9"/>
      <c r="N137" s="9"/>
      <c r="O137" s="9"/>
      <c r="P137" s="9"/>
      <c r="Q137" s="9"/>
      <c r="R137" s="9"/>
    </row>
    <row r="138" spans="2:18" x14ac:dyDescent="0.25">
      <c r="B138" s="282"/>
      <c r="C138" s="42" t="s">
        <v>37</v>
      </c>
      <c r="D138" s="107" t="s">
        <v>93</v>
      </c>
      <c r="E138" s="144">
        <f>E136*(E135*10.2)*9.81*E137/1000</f>
        <v>0</v>
      </c>
      <c r="F138" s="9"/>
      <c r="G138" s="144">
        <f>G136*(G135*10.2)*9.81*G137/1000</f>
        <v>53.409971613217216</v>
      </c>
      <c r="H138" s="144">
        <f>H136*(H135*10.2)*9.81*H137/1000</f>
        <v>0</v>
      </c>
      <c r="I138" s="9"/>
      <c r="J138" s="9"/>
      <c r="K138" s="9"/>
      <c r="L138" s="9"/>
      <c r="M138" s="9"/>
      <c r="N138" s="9"/>
      <c r="O138" s="9"/>
      <c r="P138" s="9"/>
      <c r="Q138" s="9"/>
      <c r="R138" s="9"/>
    </row>
    <row r="139" spans="2:18" x14ac:dyDescent="0.25">
      <c r="B139" s="282"/>
      <c r="C139" s="40" t="s">
        <v>16</v>
      </c>
      <c r="D139" s="107" t="s">
        <v>93</v>
      </c>
      <c r="E139" s="144">
        <f>IF(E34+E35=0,E138-E126,0)</f>
        <v>0</v>
      </c>
      <c r="F139" s="9"/>
      <c r="G139" s="144">
        <f>IF(G34+G35=0,G138-G126,0)</f>
        <v>-4.9425853338686849</v>
      </c>
      <c r="H139" s="144">
        <f>IF(H34+H35=0,H138-H126,0)</f>
        <v>0</v>
      </c>
      <c r="I139" s="9"/>
      <c r="J139" s="9"/>
      <c r="K139" s="9"/>
      <c r="L139" s="9"/>
      <c r="M139" s="9"/>
      <c r="N139" s="9"/>
      <c r="O139" s="9"/>
      <c r="P139" s="9"/>
      <c r="Q139" s="9"/>
      <c r="R139" s="9"/>
    </row>
    <row r="140" spans="2:18" x14ac:dyDescent="0.25">
      <c r="B140" s="282"/>
      <c r="C140" s="40" t="s">
        <v>17</v>
      </c>
      <c r="D140" s="107" t="s">
        <v>34</v>
      </c>
      <c r="E140" s="144">
        <f>IF(E34+E35=0,E139*24,0)</f>
        <v>0</v>
      </c>
      <c r="F140" s="11"/>
      <c r="G140" s="144">
        <f>IF(G34+G35=0,G139*24,0)</f>
        <v>-118.62204801284844</v>
      </c>
      <c r="H140" s="144">
        <f>IF(H34+H35=0,H139*24,0)</f>
        <v>0</v>
      </c>
      <c r="I140" s="9"/>
      <c r="J140" s="9"/>
      <c r="K140" s="9"/>
      <c r="L140" s="9"/>
      <c r="M140" s="9"/>
      <c r="N140" s="9"/>
      <c r="O140" s="9"/>
      <c r="P140" s="9"/>
      <c r="Q140" s="9"/>
      <c r="R140" s="9"/>
    </row>
    <row r="141" spans="2:18" ht="18" customHeight="1" x14ac:dyDescent="0.25">
      <c r="B141" s="282"/>
      <c r="C141" s="41" t="s">
        <v>36</v>
      </c>
      <c r="D141" s="107" t="s">
        <v>18</v>
      </c>
      <c r="E141" s="108">
        <f>E140*E22</f>
        <v>0</v>
      </c>
      <c r="F141" s="25"/>
      <c r="G141" s="108">
        <f>G140*G22</f>
        <v>-11.862204801284845</v>
      </c>
      <c r="H141" s="108">
        <f>H140*H22</f>
        <v>0</v>
      </c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2:18" ht="17.25" x14ac:dyDescent="0.25">
      <c r="B142" s="282"/>
      <c r="C142" s="41" t="s">
        <v>35</v>
      </c>
      <c r="D142" s="107" t="s">
        <v>150</v>
      </c>
      <c r="E142" s="203">
        <f>E141/E101</f>
        <v>0</v>
      </c>
      <c r="F142" s="25"/>
      <c r="G142" s="203">
        <f>G141/G101</f>
        <v>-8.2699582768944822E-3</v>
      </c>
      <c r="H142" s="203">
        <f>H141/H101</f>
        <v>0</v>
      </c>
      <c r="I142" s="9"/>
      <c r="J142" s="9"/>
      <c r="K142" s="9"/>
      <c r="L142" s="9"/>
      <c r="M142" s="9"/>
      <c r="N142" s="9"/>
      <c r="O142" s="9"/>
      <c r="P142" s="9"/>
      <c r="Q142" s="9"/>
      <c r="R142" s="9"/>
    </row>
    <row r="143" spans="2:18" ht="18" x14ac:dyDescent="0.25">
      <c r="B143" s="282"/>
      <c r="C143" s="41" t="s">
        <v>84</v>
      </c>
      <c r="D143" s="107" t="s">
        <v>115</v>
      </c>
      <c r="E143" s="109">
        <f>E138/E42</f>
        <v>0</v>
      </c>
      <c r="F143" s="9"/>
      <c r="G143" s="109">
        <f>G138/G42</f>
        <v>0.33381232258260762</v>
      </c>
      <c r="H143" s="109">
        <f>H138/H42</f>
        <v>0</v>
      </c>
      <c r="I143" s="9"/>
      <c r="J143" s="9"/>
      <c r="K143" s="9"/>
      <c r="L143" s="9"/>
      <c r="M143" s="9"/>
      <c r="N143" s="9"/>
      <c r="O143" s="9"/>
      <c r="P143" s="9"/>
      <c r="Q143" s="9"/>
      <c r="R143" s="9"/>
    </row>
    <row r="144" spans="2:18" ht="18" x14ac:dyDescent="0.25">
      <c r="B144" s="282"/>
      <c r="C144" s="241" t="s">
        <v>212</v>
      </c>
      <c r="D144" s="242" t="s">
        <v>115</v>
      </c>
      <c r="E144" s="243">
        <f>IF(E34+E35=0,E143-E128,0)</f>
        <v>0</v>
      </c>
      <c r="F144" s="135"/>
      <c r="G144" s="243">
        <f>IF(G34+G35=0,G143-G128,0)</f>
        <v>-3.089115833667927E-2</v>
      </c>
      <c r="H144" s="243">
        <f>IF(H34+H35=0,H143-H128,0)</f>
        <v>0</v>
      </c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2:18" ht="18" x14ac:dyDescent="0.25">
      <c r="B145" s="282"/>
      <c r="C145" s="241" t="s">
        <v>180</v>
      </c>
      <c r="D145" s="242" t="s">
        <v>151</v>
      </c>
      <c r="E145" s="244">
        <f>E100*E97/36</f>
        <v>45.412796553304169</v>
      </c>
      <c r="F145" s="135"/>
      <c r="G145" s="244">
        <f>G100*G97/36</f>
        <v>45.412796553304169</v>
      </c>
      <c r="H145" s="244">
        <f>H100*H97/36</f>
        <v>45.412796553304169</v>
      </c>
      <c r="I145" s="9"/>
      <c r="J145" s="9"/>
      <c r="K145" s="9"/>
      <c r="L145" s="9"/>
      <c r="M145" s="9"/>
      <c r="N145" s="9"/>
      <c r="O145" s="9"/>
      <c r="P145" s="9"/>
      <c r="Q145" s="9"/>
      <c r="R145" s="9"/>
    </row>
    <row r="146" spans="2:18" ht="17.25" x14ac:dyDescent="0.25">
      <c r="B146" s="282"/>
      <c r="C146" s="245" t="s">
        <v>46</v>
      </c>
      <c r="D146" s="242" t="s">
        <v>152</v>
      </c>
      <c r="E146" s="244">
        <f>E139/E101*1000</f>
        <v>0</v>
      </c>
      <c r="F146" s="135"/>
      <c r="G146" s="244">
        <f>G139/G101*1000</f>
        <v>-3.4458159487060334</v>
      </c>
      <c r="H146" s="244">
        <f>H139/H101*1000</f>
        <v>0</v>
      </c>
      <c r="I146" s="9"/>
      <c r="J146" s="9"/>
      <c r="K146" s="9"/>
      <c r="L146" s="9"/>
      <c r="M146" s="9"/>
      <c r="N146" s="9"/>
      <c r="O146" s="9"/>
      <c r="P146" s="9"/>
      <c r="Q146" s="9"/>
      <c r="R146" s="9"/>
    </row>
    <row r="147" spans="2:18" ht="17.25" x14ac:dyDescent="0.25">
      <c r="B147" s="282"/>
      <c r="C147" s="245" t="s">
        <v>165</v>
      </c>
      <c r="D147" s="242" t="s">
        <v>166</v>
      </c>
      <c r="E147" s="243">
        <f>E146*24/1000</f>
        <v>0</v>
      </c>
      <c r="F147" s="135"/>
      <c r="G147" s="243">
        <f>G146*24/1000</f>
        <v>-8.269958276894479E-2</v>
      </c>
      <c r="H147" s="243">
        <f>H146*24/1000</f>
        <v>0</v>
      </c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2:18" ht="17.25" x14ac:dyDescent="0.25">
      <c r="B148" s="282"/>
      <c r="C148" s="245" t="s">
        <v>165</v>
      </c>
      <c r="D148" s="242" t="s">
        <v>150</v>
      </c>
      <c r="E148" s="246">
        <f>E147*E22</f>
        <v>0</v>
      </c>
      <c r="F148" s="135"/>
      <c r="G148" s="246">
        <f>G147*G22</f>
        <v>-8.2699582768944787E-3</v>
      </c>
      <c r="H148" s="246">
        <f>H147*H22</f>
        <v>0</v>
      </c>
      <c r="I148" s="9"/>
      <c r="J148" s="9"/>
      <c r="K148" s="9"/>
      <c r="L148" s="9"/>
      <c r="M148" s="9"/>
      <c r="N148" s="9"/>
      <c r="O148" s="9"/>
      <c r="P148" s="9"/>
      <c r="Q148" s="9"/>
      <c r="R148" s="9"/>
    </row>
    <row r="149" spans="2:18" x14ac:dyDescent="0.25">
      <c r="B149" s="283"/>
      <c r="C149" s="245" t="s">
        <v>192</v>
      </c>
      <c r="D149" s="242" t="s">
        <v>182</v>
      </c>
      <c r="E149" s="247">
        <f>E148*365*28</f>
        <v>0</v>
      </c>
      <c r="F149" s="248"/>
      <c r="G149" s="247">
        <f>G148*365*28</f>
        <v>-84.518973589861574</v>
      </c>
      <c r="H149" s="247">
        <f>H148*365*28</f>
        <v>0</v>
      </c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2:18" x14ac:dyDescent="0.25">
      <c r="B150" s="22"/>
      <c r="C150" s="23"/>
      <c r="D150" s="110"/>
      <c r="E150" s="111"/>
      <c r="F150" s="32"/>
      <c r="G150" s="111"/>
      <c r="H150" s="111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2:18" ht="18" x14ac:dyDescent="0.25">
      <c r="B151" s="284" t="s">
        <v>98</v>
      </c>
      <c r="C151" s="24" t="s">
        <v>130</v>
      </c>
      <c r="D151" s="112" t="s">
        <v>104</v>
      </c>
      <c r="E151" s="113">
        <f>IF(E34&gt;0,E77-E115,0)</f>
        <v>0</v>
      </c>
      <c r="F151" s="21"/>
      <c r="G151" s="113">
        <f>IF(G34&gt;0,G77-G115,0)</f>
        <v>0</v>
      </c>
      <c r="H151" s="113">
        <f>IF(H34&gt;0,H77-H115,0)</f>
        <v>40</v>
      </c>
      <c r="I151" s="9"/>
      <c r="J151" s="9"/>
      <c r="K151" s="9"/>
      <c r="L151" s="9"/>
      <c r="M151" s="9"/>
      <c r="N151" s="9"/>
      <c r="O151" s="9"/>
      <c r="P151" s="9"/>
      <c r="Q151" s="9"/>
      <c r="R151" s="9"/>
    </row>
    <row r="152" spans="2:18" x14ac:dyDescent="0.25">
      <c r="B152" s="284"/>
      <c r="C152" s="24" t="s">
        <v>129</v>
      </c>
      <c r="D152" s="112" t="s">
        <v>2</v>
      </c>
      <c r="E152" s="114">
        <f>IF(E34&gt;0,E76,0)</f>
        <v>0</v>
      </c>
      <c r="F152" s="21"/>
      <c r="G152" s="114">
        <f>IF(G34&gt;0,G76,0)</f>
        <v>0</v>
      </c>
      <c r="H152" s="114">
        <f>IF(H34&gt;0,H76,0)</f>
        <v>59.625</v>
      </c>
      <c r="I152" s="9"/>
      <c r="J152" s="9"/>
      <c r="K152" s="9"/>
      <c r="L152" s="9"/>
      <c r="M152" s="9"/>
      <c r="N152" s="9"/>
      <c r="O152" s="9"/>
      <c r="P152" s="9"/>
      <c r="Q152" s="9"/>
      <c r="R152" s="9"/>
    </row>
    <row r="153" spans="2:18" x14ac:dyDescent="0.25">
      <c r="B153" s="284"/>
      <c r="C153" s="24" t="s">
        <v>131</v>
      </c>
      <c r="D153" s="112" t="s">
        <v>2</v>
      </c>
      <c r="E153" s="115">
        <f>IF(E34&gt;0,E21,0)</f>
        <v>0</v>
      </c>
      <c r="F153" s="21"/>
      <c r="G153" s="115">
        <f>IF(G34&gt;0,G21,0)</f>
        <v>0</v>
      </c>
      <c r="H153" s="115">
        <f>IF(H34&gt;0,H21,0)</f>
        <v>1</v>
      </c>
      <c r="I153" s="9"/>
      <c r="J153" s="9"/>
      <c r="K153" s="9"/>
      <c r="L153" s="9"/>
      <c r="M153" s="9"/>
      <c r="N153" s="9"/>
      <c r="O153" s="9"/>
      <c r="P153" s="9"/>
      <c r="Q153" s="9"/>
      <c r="R153" s="9"/>
    </row>
    <row r="154" spans="2:18" x14ac:dyDescent="0.25">
      <c r="B154" s="284"/>
      <c r="C154" s="24" t="s">
        <v>100</v>
      </c>
      <c r="D154" s="112" t="s">
        <v>2</v>
      </c>
      <c r="E154" s="114">
        <f>E152-E153</f>
        <v>0</v>
      </c>
      <c r="F154" s="21"/>
      <c r="G154" s="114">
        <f>G152-G153</f>
        <v>0</v>
      </c>
      <c r="H154" s="114">
        <f>H152-H153</f>
        <v>58.625</v>
      </c>
      <c r="I154" s="9"/>
      <c r="J154" s="9"/>
      <c r="K154" s="9"/>
      <c r="L154" s="9"/>
      <c r="M154" s="9"/>
      <c r="N154" s="9"/>
      <c r="O154" s="9"/>
      <c r="P154" s="9"/>
      <c r="Q154" s="9"/>
      <c r="R154" s="9"/>
    </row>
    <row r="155" spans="2:18" x14ac:dyDescent="0.25">
      <c r="B155" s="284"/>
      <c r="C155" s="36" t="s">
        <v>140</v>
      </c>
      <c r="D155" s="116" t="s">
        <v>22</v>
      </c>
      <c r="E155" s="117">
        <f>IF(E34&gt;0,E79/E83,0)</f>
        <v>0</v>
      </c>
      <c r="F155" s="21"/>
      <c r="G155" s="117">
        <f>IF(G34&gt;0,G79/G83,0)</f>
        <v>0</v>
      </c>
      <c r="H155" s="117">
        <f>IF(H34&gt;0,H79/H83,0)</f>
        <v>1.099009988472271</v>
      </c>
      <c r="I155" s="9"/>
      <c r="J155" s="9"/>
      <c r="K155" s="9"/>
      <c r="L155" s="9"/>
      <c r="M155" s="9"/>
      <c r="N155" s="9"/>
      <c r="O155" s="9"/>
      <c r="P155" s="9"/>
      <c r="Q155" s="9"/>
      <c r="R155" s="9"/>
    </row>
    <row r="156" spans="2:18" x14ac:dyDescent="0.25">
      <c r="B156" s="284"/>
      <c r="C156" s="20" t="s">
        <v>101</v>
      </c>
      <c r="D156" s="112" t="s">
        <v>2</v>
      </c>
      <c r="E156" s="113">
        <f>E154*E23*E155</f>
        <v>0</v>
      </c>
      <c r="F156" s="21"/>
      <c r="G156" s="113">
        <f>G154*G23*G155</f>
        <v>0</v>
      </c>
      <c r="H156" s="113">
        <f>H154*H23*H155</f>
        <v>59.275103728251942</v>
      </c>
      <c r="I156" s="9"/>
      <c r="J156" s="9"/>
      <c r="K156" s="9"/>
      <c r="L156" s="9"/>
      <c r="M156" s="9"/>
      <c r="N156" s="9"/>
      <c r="O156" s="9"/>
      <c r="P156" s="9"/>
      <c r="Q156" s="9"/>
      <c r="R156" s="9"/>
    </row>
    <row r="157" spans="2:18" x14ac:dyDescent="0.25">
      <c r="B157" s="34"/>
      <c r="C157" s="35"/>
      <c r="D157" s="118"/>
      <c r="E157" s="88"/>
      <c r="F157" s="31"/>
      <c r="G157" s="88"/>
      <c r="H157" s="88"/>
      <c r="I157" s="9"/>
      <c r="J157" s="9"/>
      <c r="K157" s="9"/>
      <c r="L157" s="9"/>
      <c r="M157" s="9"/>
      <c r="N157" s="9"/>
      <c r="O157" s="9"/>
      <c r="P157" s="9"/>
      <c r="Q157" s="9"/>
      <c r="R157" s="9"/>
    </row>
    <row r="158" spans="2:18" x14ac:dyDescent="0.25">
      <c r="B158" s="284" t="s">
        <v>96</v>
      </c>
      <c r="C158" s="20" t="s">
        <v>97</v>
      </c>
      <c r="D158" s="112" t="s">
        <v>2</v>
      </c>
      <c r="E158" s="115">
        <f>IF(E34&gt;0,IF(E28-E156&gt;0,E28-E156,0),0)</f>
        <v>0</v>
      </c>
      <c r="F158" s="180"/>
      <c r="G158" s="115">
        <f>IF(G34&gt;0,IF(G28-G156&gt;0,G28-G156,0),0)</f>
        <v>0</v>
      </c>
      <c r="H158" s="115">
        <f>IF(H34&gt;0,IF(H28-H156&gt;0,H28-H156,0),0)</f>
        <v>0.72489627174805804</v>
      </c>
      <c r="I158" s="9"/>
      <c r="J158" s="9"/>
      <c r="K158" s="9"/>
      <c r="L158" s="9"/>
      <c r="M158" s="9"/>
      <c r="N158" s="9"/>
      <c r="O158" s="9"/>
      <c r="P158" s="9"/>
      <c r="Q158" s="9"/>
      <c r="R158" s="9"/>
    </row>
    <row r="159" spans="2:18" ht="18" x14ac:dyDescent="0.25">
      <c r="B159" s="284"/>
      <c r="C159" s="20" t="s">
        <v>95</v>
      </c>
      <c r="D159" s="112" t="s">
        <v>104</v>
      </c>
      <c r="E159" s="113">
        <f>IF(E34&gt;0,E151/E34,0)</f>
        <v>0</v>
      </c>
      <c r="F159" s="21"/>
      <c r="G159" s="113">
        <f>IF(G34&gt;0,G151/G34,0)</f>
        <v>0</v>
      </c>
      <c r="H159" s="113">
        <f>IF(H34&gt;0,H151/H34,0)</f>
        <v>40</v>
      </c>
      <c r="I159" s="9"/>
      <c r="J159" s="9"/>
      <c r="K159" s="9"/>
      <c r="L159" s="9"/>
      <c r="M159" s="9"/>
      <c r="N159" s="9"/>
      <c r="O159" s="9"/>
      <c r="P159" s="9"/>
      <c r="Q159" s="9"/>
      <c r="R159" s="9"/>
    </row>
    <row r="160" spans="2:18" ht="18" x14ac:dyDescent="0.25">
      <c r="B160" s="284"/>
      <c r="C160" s="20" t="s">
        <v>128</v>
      </c>
      <c r="D160" s="119" t="s">
        <v>113</v>
      </c>
      <c r="E160" s="113">
        <f>IF(E34&gt;0,E159-E151,0)</f>
        <v>0</v>
      </c>
      <c r="F160" s="21"/>
      <c r="G160" s="113">
        <f>IF(G34&gt;0,G159-G151,0)</f>
        <v>0</v>
      </c>
      <c r="H160" s="113">
        <f>IF(H34&gt;0,H159-H151,0)</f>
        <v>0</v>
      </c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25">
      <c r="B161" s="284"/>
      <c r="C161" s="20" t="s">
        <v>128</v>
      </c>
      <c r="D161" s="120" t="s">
        <v>22</v>
      </c>
      <c r="E161" s="121">
        <f>IF(E34&gt;0,1-(E151/E159),0)</f>
        <v>0</v>
      </c>
      <c r="F161" s="21"/>
      <c r="G161" s="121">
        <f>IF(G34&gt;0,1-(G151/G159),0)</f>
        <v>0</v>
      </c>
      <c r="H161" s="121">
        <f>IF(H34&gt;0,1-(H151/H159),0)</f>
        <v>0</v>
      </c>
      <c r="I161" s="9"/>
      <c r="J161" s="9"/>
      <c r="K161" s="9"/>
      <c r="L161" s="9"/>
      <c r="M161" s="9"/>
      <c r="N161" s="9"/>
      <c r="O161" s="9"/>
      <c r="P161" s="9"/>
      <c r="Q161" s="9"/>
      <c r="R161" s="9"/>
    </row>
    <row r="162" spans="1:18" ht="18" x14ac:dyDescent="0.25">
      <c r="B162" s="284"/>
      <c r="C162" s="20" t="s">
        <v>99</v>
      </c>
      <c r="D162" s="112" t="s">
        <v>104</v>
      </c>
      <c r="E162" s="113">
        <f>E29*E159</f>
        <v>0</v>
      </c>
      <c r="F162" s="21"/>
      <c r="G162" s="113">
        <f>G29*G159</f>
        <v>0</v>
      </c>
      <c r="H162" s="113">
        <f>H29*H159</f>
        <v>16</v>
      </c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ht="18" x14ac:dyDescent="0.25">
      <c r="B163" s="284"/>
      <c r="C163" s="20" t="s">
        <v>102</v>
      </c>
      <c r="D163" s="112" t="s">
        <v>114</v>
      </c>
      <c r="E163" s="113">
        <f>E159*(1-E29)</f>
        <v>0</v>
      </c>
      <c r="F163" s="21"/>
      <c r="G163" s="113">
        <f>G159*(1-G29)</f>
        <v>0</v>
      </c>
      <c r="H163" s="113">
        <f>H159*(1-H29)</f>
        <v>24</v>
      </c>
      <c r="I163" s="9"/>
      <c r="J163" s="9"/>
      <c r="K163" s="9"/>
      <c r="L163" s="9"/>
      <c r="M163" s="9"/>
      <c r="N163" s="9"/>
      <c r="O163" s="9"/>
      <c r="P163" s="9"/>
      <c r="Q163" s="9"/>
      <c r="R163" s="9"/>
    </row>
    <row r="164" spans="1:18" x14ac:dyDescent="0.25">
      <c r="B164" s="284"/>
      <c r="C164" s="20" t="s">
        <v>141</v>
      </c>
      <c r="D164" s="112" t="s">
        <v>93</v>
      </c>
      <c r="E164" s="115">
        <f>(E151*E83*9.81*(E158*10.2)/3600/E19)+(E160*E83*9.81*(E28*10.2)/3600/E19)</f>
        <v>0</v>
      </c>
      <c r="F164" s="21"/>
      <c r="G164" s="115">
        <f>(G151*G83*9.81*(G158*10.2)/3600/G19)+(G160*G83*9.81*(G28*10.2)/3600/G19)</f>
        <v>0</v>
      </c>
      <c r="H164" s="115">
        <f>(H151*H83*9.81*(H158*10.2)/3600/H19)+(H160*H83*9.81*(H28*10.2)/3600/H19)</f>
        <v>1.0311610905539998</v>
      </c>
      <c r="I164" s="9"/>
      <c r="J164" s="9"/>
      <c r="K164" s="9"/>
      <c r="L164" s="9"/>
      <c r="M164" s="9"/>
      <c r="N164" s="9"/>
      <c r="O164" s="9"/>
      <c r="P164" s="9"/>
      <c r="Q164" s="9"/>
      <c r="R164" s="9"/>
    </row>
    <row r="165" spans="1:18" x14ac:dyDescent="0.25">
      <c r="B165" s="284"/>
      <c r="C165" s="20" t="s">
        <v>142</v>
      </c>
      <c r="D165" s="112" t="s">
        <v>93</v>
      </c>
      <c r="E165" s="113">
        <f>E159*E83*9.81*(E28*10.2)/3600/E19</f>
        <v>0</v>
      </c>
      <c r="F165" s="21"/>
      <c r="G165" s="113">
        <f>G159*G83*9.81*(G28*10.2)/3600/G19</f>
        <v>0</v>
      </c>
      <c r="H165" s="113">
        <f>H159*H83*9.81*(H28*10.2)/3600/H19</f>
        <v>85.349680836464785</v>
      </c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25">
      <c r="B166" s="284"/>
      <c r="C166" s="24" t="s">
        <v>109</v>
      </c>
      <c r="D166" s="112" t="s">
        <v>93</v>
      </c>
      <c r="E166" s="113">
        <f>E165-E164</f>
        <v>0</v>
      </c>
      <c r="F166" s="21"/>
      <c r="G166" s="113">
        <f>G165-G164</f>
        <v>0</v>
      </c>
      <c r="H166" s="113">
        <f>H165-H164</f>
        <v>84.318519745910791</v>
      </c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25">
      <c r="B167" s="284"/>
      <c r="C167" s="24" t="s">
        <v>107</v>
      </c>
      <c r="D167" s="112" t="s">
        <v>93</v>
      </c>
      <c r="E167" s="113">
        <f>IF(E34&gt;0,E126,0)</f>
        <v>0</v>
      </c>
      <c r="F167" s="21"/>
      <c r="G167" s="113">
        <f>IF(G34&gt;0,G126,0)</f>
        <v>0</v>
      </c>
      <c r="H167" s="113">
        <f>IF(H34&gt;0,H126,0)</f>
        <v>58.352556947085901</v>
      </c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25">
      <c r="B168" s="284"/>
      <c r="C168" s="24" t="s">
        <v>147</v>
      </c>
      <c r="D168" s="112" t="s">
        <v>93</v>
      </c>
      <c r="E168" s="113">
        <f>E166-E167</f>
        <v>0</v>
      </c>
      <c r="F168" s="135"/>
      <c r="G168" s="113">
        <f>G166-G167</f>
        <v>0</v>
      </c>
      <c r="H168" s="113">
        <f>H166-H167</f>
        <v>25.96596279882489</v>
      </c>
      <c r="I168" s="9"/>
      <c r="J168" s="9"/>
      <c r="K168" s="9"/>
      <c r="L168" s="9"/>
      <c r="M168" s="9"/>
      <c r="N168" s="9"/>
      <c r="O168" s="9"/>
      <c r="P168" s="9"/>
      <c r="Q168" s="9"/>
      <c r="R168" s="9"/>
    </row>
    <row r="169" spans="1:18" ht="18.75" x14ac:dyDescent="0.25">
      <c r="B169" s="284"/>
      <c r="C169" s="226" t="s">
        <v>216</v>
      </c>
      <c r="D169" s="227" t="s">
        <v>217</v>
      </c>
      <c r="E169" s="228">
        <f>E168*1000/E104</f>
        <v>0</v>
      </c>
      <c r="F169" s="135"/>
      <c r="G169" s="228">
        <f>G168*1000/G104</f>
        <v>0</v>
      </c>
      <c r="H169" s="228">
        <f>H168*1000/H104</f>
        <v>18.102657352739094</v>
      </c>
      <c r="I169" s="9"/>
      <c r="J169" s="9"/>
      <c r="K169" s="9"/>
      <c r="L169" s="9"/>
      <c r="M169" s="9"/>
      <c r="N169" s="9"/>
      <c r="O169" s="9"/>
      <c r="P169" s="9"/>
      <c r="Q169" s="9"/>
      <c r="R169" s="9"/>
    </row>
    <row r="170" spans="1:18" ht="18" x14ac:dyDescent="0.25">
      <c r="B170" s="284"/>
      <c r="C170" s="229" t="s">
        <v>213</v>
      </c>
      <c r="D170" s="227" t="s">
        <v>210</v>
      </c>
      <c r="E170" s="230">
        <f>E168/E42</f>
        <v>0</v>
      </c>
      <c r="F170" s="135"/>
      <c r="G170" s="230">
        <f>G168/G42</f>
        <v>0</v>
      </c>
      <c r="H170" s="230">
        <f>H168/H42</f>
        <v>0.16228726749265557</v>
      </c>
      <c r="I170" s="9"/>
      <c r="J170" s="9"/>
      <c r="K170" s="9"/>
      <c r="L170" s="9"/>
      <c r="M170" s="9"/>
      <c r="N170" s="9"/>
      <c r="O170" s="9"/>
      <c r="P170" s="9"/>
      <c r="Q170" s="9"/>
      <c r="R170" s="9"/>
    </row>
    <row r="171" spans="1:18" x14ac:dyDescent="0.25">
      <c r="B171" s="284"/>
      <c r="C171" s="226" t="s">
        <v>143</v>
      </c>
      <c r="D171" s="227" t="s">
        <v>34</v>
      </c>
      <c r="E171" s="228">
        <f>E168*24</f>
        <v>0</v>
      </c>
      <c r="F171" s="135"/>
      <c r="G171" s="228">
        <f>G168*24</f>
        <v>0</v>
      </c>
      <c r="H171" s="228">
        <f>H168*24</f>
        <v>623.18310717179736</v>
      </c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25">
      <c r="B172" s="284"/>
      <c r="C172" s="229" t="s">
        <v>144</v>
      </c>
      <c r="D172" s="227" t="s">
        <v>92</v>
      </c>
      <c r="E172" s="228">
        <f>E171*E22</f>
        <v>0</v>
      </c>
      <c r="F172" s="135"/>
      <c r="G172" s="228">
        <f>G171*G22</f>
        <v>0</v>
      </c>
      <c r="H172" s="228">
        <f>H171*H22</f>
        <v>62.318310717179742</v>
      </c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ht="19.5" customHeight="1" x14ac:dyDescent="0.25">
      <c r="B173" s="284"/>
      <c r="C173" s="229" t="s">
        <v>159</v>
      </c>
      <c r="D173" s="227" t="s">
        <v>160</v>
      </c>
      <c r="E173" s="230">
        <f>E172/E45</f>
        <v>0</v>
      </c>
      <c r="F173" s="135"/>
      <c r="G173" s="230">
        <f>G172/G45</f>
        <v>0</v>
      </c>
      <c r="H173" s="230">
        <f>H172/H45</f>
        <v>4.344637764657383E-2</v>
      </c>
      <c r="I173" s="9"/>
      <c r="J173" s="9"/>
      <c r="K173" s="9"/>
      <c r="L173" s="9"/>
      <c r="M173" s="9"/>
      <c r="N173" s="9"/>
      <c r="O173" s="9"/>
      <c r="P173" s="9"/>
      <c r="Q173" s="9"/>
      <c r="R173" s="9"/>
    </row>
    <row r="174" spans="1:18" ht="19.5" customHeight="1" x14ac:dyDescent="0.25">
      <c r="B174" s="284"/>
      <c r="C174" s="229" t="s">
        <v>192</v>
      </c>
      <c r="D174" s="227" t="s">
        <v>182</v>
      </c>
      <c r="E174" s="231">
        <f>E173*365*28</f>
        <v>0</v>
      </c>
      <c r="F174" s="135"/>
      <c r="G174" s="231">
        <f>G173*365*28</f>
        <v>0</v>
      </c>
      <c r="H174" s="231">
        <f>H173*365*28</f>
        <v>444.02197954798453</v>
      </c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ht="15.75" customHeight="1" x14ac:dyDescent="0.25">
      <c r="A175" s="21"/>
      <c r="B175" s="37"/>
      <c r="C175" s="232"/>
      <c r="D175" s="233"/>
      <c r="E175" s="234"/>
      <c r="F175" s="135"/>
      <c r="G175" s="234"/>
      <c r="H175" s="234"/>
      <c r="I175" s="9"/>
      <c r="J175" s="9"/>
      <c r="K175" s="9"/>
      <c r="L175" s="9"/>
      <c r="M175" s="9"/>
      <c r="N175" s="9"/>
      <c r="O175" s="9"/>
      <c r="P175" s="9"/>
      <c r="Q175" s="9"/>
      <c r="R175" s="9"/>
    </row>
    <row r="176" spans="1:18" ht="15.75" customHeight="1" x14ac:dyDescent="0.25">
      <c r="A176" s="21"/>
      <c r="B176" s="285" t="s">
        <v>132</v>
      </c>
      <c r="C176" s="235" t="s">
        <v>198</v>
      </c>
      <c r="D176" s="236" t="s">
        <v>133</v>
      </c>
      <c r="E176" s="237">
        <f>IF(E35=1,E43,0)</f>
        <v>40</v>
      </c>
      <c r="F176" s="210"/>
      <c r="G176" s="237">
        <f>IF(G35=1,G43,0)</f>
        <v>0</v>
      </c>
      <c r="H176" s="237">
        <f>IF(H35=1,H43,0)</f>
        <v>0</v>
      </c>
      <c r="I176" s="9"/>
      <c r="J176" s="9"/>
      <c r="K176" s="9"/>
      <c r="L176" s="9"/>
      <c r="M176" s="9"/>
      <c r="N176" s="9"/>
      <c r="O176" s="9"/>
      <c r="P176" s="9"/>
      <c r="Q176" s="9"/>
      <c r="R176" s="9"/>
    </row>
    <row r="177" spans="1:18" ht="18" x14ac:dyDescent="0.25">
      <c r="A177" s="21"/>
      <c r="B177" s="285"/>
      <c r="C177" s="235" t="s">
        <v>199</v>
      </c>
      <c r="D177" s="236" t="s">
        <v>133</v>
      </c>
      <c r="E177" s="237">
        <f>IF(E35=1,E176*((1-E30)/E30),0)</f>
        <v>4.4444444444444429</v>
      </c>
      <c r="F177" s="210"/>
      <c r="G177" s="237">
        <f>IF(G35=1,G176*((1-G30)/G30),0)</f>
        <v>0</v>
      </c>
      <c r="H177" s="237">
        <f>IF(H35=1,H176*((1-H30)/H30),0)</f>
        <v>0</v>
      </c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25">
      <c r="A178" s="21"/>
      <c r="B178" s="285"/>
      <c r="C178" s="235" t="s">
        <v>199</v>
      </c>
      <c r="D178" s="236" t="s">
        <v>202</v>
      </c>
      <c r="E178" s="237">
        <f>E177*1000/3.785/42</f>
        <v>27.957755830939441</v>
      </c>
      <c r="F178" s="210"/>
      <c r="G178" s="237">
        <f>G177*1000/3.785/42</f>
        <v>0</v>
      </c>
      <c r="H178" s="237">
        <f>H177*1000/3.785/42</f>
        <v>0</v>
      </c>
      <c r="I178" s="9"/>
      <c r="J178" s="9"/>
      <c r="K178" s="9"/>
      <c r="L178" s="9"/>
      <c r="M178" s="9"/>
      <c r="N178" s="9"/>
      <c r="O178" s="9"/>
      <c r="P178" s="9"/>
      <c r="Q178" s="9"/>
      <c r="R178" s="9"/>
    </row>
    <row r="179" spans="1:18" x14ac:dyDescent="0.25">
      <c r="A179" s="21"/>
      <c r="B179" s="285"/>
      <c r="C179" s="235" t="s">
        <v>200</v>
      </c>
      <c r="D179" s="236" t="s">
        <v>201</v>
      </c>
      <c r="E179" s="237">
        <f>IF(E35=1,E178*E31,0)</f>
        <v>419.3663374640916</v>
      </c>
      <c r="F179" s="210"/>
      <c r="G179" s="237">
        <f>IF(G35=1,G178*G31,0)</f>
        <v>0</v>
      </c>
      <c r="H179" s="237">
        <f>IF(H35=1,H178*H31,0)</f>
        <v>0</v>
      </c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25">
      <c r="A180" s="21"/>
      <c r="B180" s="285"/>
      <c r="C180" s="235" t="s">
        <v>215</v>
      </c>
      <c r="D180" s="236" t="s">
        <v>182</v>
      </c>
      <c r="E180" s="238">
        <f>IF(E35=1,E179*24*365*E18/E45,0)</f>
        <v>71712.292264787902</v>
      </c>
      <c r="F180" s="210"/>
      <c r="G180" s="238">
        <f>IF(G35=1,G179*24*365*G18/G45,0)</f>
        <v>0</v>
      </c>
      <c r="H180" s="238">
        <f>IF(H35=1,H179*24*365*H18/H45,0)</f>
        <v>0</v>
      </c>
      <c r="I180" s="9"/>
      <c r="J180" s="9"/>
      <c r="K180" s="9"/>
      <c r="L180" s="9"/>
      <c r="M180" s="9"/>
      <c r="N180" s="9"/>
      <c r="O180" s="9"/>
      <c r="P180" s="9"/>
      <c r="Q180" s="9"/>
      <c r="R180" s="9"/>
    </row>
    <row r="181" spans="1:18" x14ac:dyDescent="0.25">
      <c r="A181" s="21"/>
      <c r="B181" s="285"/>
      <c r="C181" s="235" t="s">
        <v>206</v>
      </c>
      <c r="D181" s="236" t="s">
        <v>93</v>
      </c>
      <c r="E181" s="237">
        <f>IF(E35=1,E125,0)</f>
        <v>32</v>
      </c>
      <c r="F181" s="210"/>
      <c r="G181" s="237">
        <f>IF(G35=1,G125,0)</f>
        <v>0</v>
      </c>
      <c r="H181" s="237">
        <f>IF(H35=1,H125,0)</f>
        <v>0</v>
      </c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25">
      <c r="A182" s="21"/>
      <c r="B182" s="285"/>
      <c r="C182" s="235" t="s">
        <v>203</v>
      </c>
      <c r="D182" s="236" t="s">
        <v>93</v>
      </c>
      <c r="E182" s="239">
        <f>IF(E35=1,E114,0)</f>
        <v>2.667177526139525</v>
      </c>
      <c r="F182" s="210"/>
      <c r="G182" s="239">
        <f>IF(G35=1,G114,0)</f>
        <v>0</v>
      </c>
      <c r="H182" s="239">
        <f>IF(H35=1,H114,0)</f>
        <v>0</v>
      </c>
      <c r="I182" s="9"/>
      <c r="J182" s="9"/>
      <c r="K182" s="9"/>
      <c r="L182" s="9"/>
      <c r="M182" s="9"/>
      <c r="N182" s="9"/>
      <c r="O182" s="9"/>
      <c r="P182" s="9"/>
      <c r="Q182" s="9"/>
      <c r="R182" s="9"/>
    </row>
    <row r="183" spans="1:18" x14ac:dyDescent="0.25">
      <c r="A183" s="21"/>
      <c r="B183" s="285"/>
      <c r="C183" s="235" t="s">
        <v>204</v>
      </c>
      <c r="D183" s="236" t="s">
        <v>93</v>
      </c>
      <c r="E183" s="239">
        <f>IF(E35=1,E122,0)</f>
        <v>1.8921809009951935</v>
      </c>
      <c r="F183" s="210"/>
      <c r="G183" s="239">
        <f>IF(G35=1,G122,0)</f>
        <v>0</v>
      </c>
      <c r="H183" s="239">
        <f>IF(H35=1,H122,0)</f>
        <v>0</v>
      </c>
      <c r="I183" s="9"/>
      <c r="J183" s="9"/>
      <c r="K183" s="9"/>
      <c r="L183" s="9"/>
      <c r="M183" s="9"/>
      <c r="N183" s="9"/>
      <c r="O183" s="9"/>
      <c r="P183" s="9"/>
      <c r="Q183" s="9"/>
      <c r="R183" s="9"/>
    </row>
    <row r="184" spans="1:18" x14ac:dyDescent="0.25">
      <c r="A184" s="21"/>
      <c r="B184" s="285"/>
      <c r="C184" s="235" t="s">
        <v>211</v>
      </c>
      <c r="D184" s="236" t="s">
        <v>93</v>
      </c>
      <c r="E184" s="239">
        <f>E181+E182+E183</f>
        <v>36.559358427134718</v>
      </c>
      <c r="F184" s="210"/>
      <c r="G184" s="239">
        <f>G181+G182+G183</f>
        <v>0</v>
      </c>
      <c r="H184" s="239">
        <f>H181+H182+H183</f>
        <v>0</v>
      </c>
      <c r="I184" s="9"/>
      <c r="J184" s="9"/>
      <c r="K184" s="9"/>
      <c r="L184" s="9"/>
      <c r="M184" s="9"/>
      <c r="N184" s="9"/>
      <c r="O184" s="9"/>
      <c r="P184" s="9"/>
      <c r="Q184" s="9"/>
      <c r="R184" s="9"/>
    </row>
    <row r="185" spans="1:18" ht="18" x14ac:dyDescent="0.25">
      <c r="A185" s="21"/>
      <c r="B185" s="285"/>
      <c r="C185" s="235" t="s">
        <v>214</v>
      </c>
      <c r="D185" s="236" t="s">
        <v>134</v>
      </c>
      <c r="E185" s="240">
        <f>-E184/E42</f>
        <v>-0.22849599016959199</v>
      </c>
      <c r="F185" s="210"/>
      <c r="G185" s="240">
        <f>-G184/G42</f>
        <v>0</v>
      </c>
      <c r="H185" s="240">
        <f>-H184/H42</f>
        <v>0</v>
      </c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25">
      <c r="A186" s="21"/>
      <c r="B186" s="285"/>
      <c r="C186" s="235" t="s">
        <v>205</v>
      </c>
      <c r="D186" s="236" t="s">
        <v>201</v>
      </c>
      <c r="E186" s="238">
        <f>E184*E22</f>
        <v>3.6559358427134718</v>
      </c>
      <c r="F186" s="210"/>
      <c r="G186" s="238">
        <f>G184*G22</f>
        <v>0</v>
      </c>
      <c r="H186" s="238">
        <f>H184*H22</f>
        <v>0</v>
      </c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25">
      <c r="A187" s="21"/>
      <c r="B187" s="285"/>
      <c r="C187" s="235" t="s">
        <v>205</v>
      </c>
      <c r="D187" s="236" t="s">
        <v>182</v>
      </c>
      <c r="E187" s="238">
        <f>IF(E35=1,E186*24*365*E18/E45,0)</f>
        <v>625.17068308190335</v>
      </c>
      <c r="F187" s="210"/>
      <c r="G187" s="238">
        <f>IF(G35=1,G186*24*365*G18/G45,0)</f>
        <v>0</v>
      </c>
      <c r="H187" s="238">
        <f>IF(H35=1,H186*24*365*H18/H45,0)</f>
        <v>0</v>
      </c>
      <c r="I187" s="9"/>
      <c r="J187" s="9"/>
      <c r="K187" s="9"/>
      <c r="L187" s="9"/>
      <c r="M187" s="9"/>
      <c r="N187" s="9"/>
      <c r="O187" s="9"/>
      <c r="P187" s="9"/>
      <c r="Q187" s="9"/>
      <c r="R187" s="9"/>
    </row>
    <row r="188" spans="1:18" x14ac:dyDescent="0.25">
      <c r="A188" s="21"/>
      <c r="B188" s="285"/>
      <c r="C188" s="235" t="s">
        <v>207</v>
      </c>
      <c r="D188" s="236" t="s">
        <v>201</v>
      </c>
      <c r="E188" s="238">
        <f>E179-E186</f>
        <v>415.71040162137814</v>
      </c>
      <c r="F188" s="210"/>
      <c r="G188" s="238">
        <f>G179-G186</f>
        <v>0</v>
      </c>
      <c r="H188" s="238">
        <f>H179-H186</f>
        <v>0</v>
      </c>
      <c r="I188" s="9"/>
      <c r="J188" s="9"/>
      <c r="K188" s="9"/>
      <c r="L188" s="9"/>
      <c r="M188" s="9"/>
      <c r="N188" s="9"/>
      <c r="O188" s="9"/>
      <c r="P188" s="9"/>
      <c r="Q188" s="9"/>
      <c r="R188" s="9"/>
    </row>
    <row r="189" spans="1:18" x14ac:dyDescent="0.25">
      <c r="A189" s="21"/>
      <c r="B189" s="285"/>
      <c r="C189" s="235" t="s">
        <v>192</v>
      </c>
      <c r="D189" s="236" t="s">
        <v>182</v>
      </c>
      <c r="E189" s="238">
        <f>IF(E35=1,E188*24*365/(E45/28),0)</f>
        <v>71087.121581706</v>
      </c>
      <c r="F189" s="210"/>
      <c r="G189" s="238">
        <f>IF(G35=1,G188*24*365/(G45/28),0)</f>
        <v>0</v>
      </c>
      <c r="H189" s="238">
        <f>IF(H35=1,H188*24*365/(H45/28),0)</f>
        <v>0</v>
      </c>
      <c r="I189" s="9"/>
      <c r="J189" s="9"/>
      <c r="K189" s="9"/>
      <c r="L189" s="9"/>
      <c r="M189" s="9"/>
      <c r="N189" s="9"/>
      <c r="O189" s="9"/>
      <c r="P189" s="9"/>
      <c r="Q189" s="9"/>
      <c r="R189" s="9"/>
    </row>
    <row r="190" spans="1:18" x14ac:dyDescent="0.25">
      <c r="A190" s="21"/>
      <c r="B190" s="37"/>
      <c r="C190" s="38"/>
      <c r="D190" s="122"/>
      <c r="E190" s="184"/>
      <c r="F190" s="194"/>
      <c r="G190" s="184"/>
      <c r="H190" s="184"/>
      <c r="I190" s="9"/>
      <c r="J190" s="9"/>
      <c r="K190" s="9"/>
      <c r="L190" s="9"/>
      <c r="M190" s="9"/>
      <c r="N190" s="9"/>
      <c r="O190" s="9"/>
      <c r="P190" s="9"/>
      <c r="Q190" s="9"/>
      <c r="R190" s="9"/>
    </row>
    <row r="191" spans="1:18" x14ac:dyDescent="0.25">
      <c r="F191" s="194"/>
      <c r="I191" s="9"/>
      <c r="J191" s="9"/>
      <c r="K191" s="9"/>
      <c r="L191" s="9"/>
      <c r="M191" s="9"/>
      <c r="N191" s="9"/>
      <c r="O191" s="9"/>
      <c r="P191" s="9"/>
      <c r="Q191" s="9"/>
      <c r="R191" s="9"/>
    </row>
    <row r="192" spans="1:18" x14ac:dyDescent="0.25">
      <c r="C192" s="286"/>
      <c r="D192" s="286"/>
      <c r="E192" s="9"/>
      <c r="F192" s="194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</row>
    <row r="193" spans="2:18" x14ac:dyDescent="0.25">
      <c r="C193" s="1"/>
      <c r="E193" s="3"/>
      <c r="G193" s="3"/>
      <c r="H193" s="3"/>
      <c r="I193" s="9"/>
      <c r="J193" s="9"/>
      <c r="K193" s="9"/>
      <c r="L193" s="9"/>
      <c r="M193" s="9"/>
      <c r="N193" s="9"/>
      <c r="O193" s="9"/>
      <c r="P193" s="9"/>
      <c r="Q193" s="9"/>
      <c r="R193" s="9"/>
    </row>
    <row r="194" spans="2:18" x14ac:dyDescent="0.25">
      <c r="C194" s="1"/>
      <c r="E194" s="4"/>
      <c r="F194" s="9"/>
      <c r="G194" s="4"/>
      <c r="H194" s="4"/>
      <c r="I194" s="9"/>
      <c r="J194" s="9"/>
      <c r="K194" s="9"/>
      <c r="L194" s="9"/>
      <c r="M194" s="9"/>
      <c r="N194" s="9"/>
      <c r="O194" s="9"/>
      <c r="P194" s="9"/>
      <c r="Q194" s="9"/>
      <c r="R194" s="9"/>
    </row>
    <row r="195" spans="2:18" x14ac:dyDescent="0.25">
      <c r="B195" s="9"/>
      <c r="C195" s="1"/>
      <c r="E195" s="5"/>
      <c r="F195" s="9"/>
      <c r="G195" s="5"/>
      <c r="H195" s="5"/>
      <c r="I195" s="9"/>
      <c r="J195" s="9"/>
      <c r="K195" s="9"/>
      <c r="L195" s="9"/>
      <c r="M195" s="9"/>
      <c r="N195" s="9"/>
      <c r="O195" s="9"/>
      <c r="P195" s="9"/>
      <c r="Q195" s="9"/>
      <c r="R195" s="9"/>
    </row>
    <row r="196" spans="2:18" x14ac:dyDescent="0.25">
      <c r="B196" s="9"/>
      <c r="C196" s="1"/>
      <c r="E196" s="5"/>
      <c r="F196" s="9"/>
      <c r="G196" s="5"/>
      <c r="H196" s="5"/>
      <c r="I196" s="9"/>
      <c r="J196" s="9"/>
      <c r="K196" s="9"/>
      <c r="L196" s="9"/>
      <c r="M196" s="9"/>
      <c r="N196" s="9"/>
      <c r="O196" s="9"/>
      <c r="P196" s="9"/>
      <c r="Q196" s="9"/>
      <c r="R196" s="9"/>
    </row>
    <row r="197" spans="2:18" x14ac:dyDescent="0.25">
      <c r="B197" s="9"/>
      <c r="C197" s="1"/>
      <c r="D197" s="207"/>
      <c r="E197" s="6"/>
      <c r="F197" s="9"/>
      <c r="G197" s="6"/>
      <c r="H197" s="6"/>
      <c r="I197" s="9"/>
      <c r="J197" s="9"/>
      <c r="K197" s="9"/>
      <c r="L197" s="9"/>
      <c r="M197" s="9"/>
      <c r="N197" s="9"/>
      <c r="O197" s="9"/>
      <c r="P197" s="9"/>
      <c r="Q197" s="9"/>
      <c r="R197" s="9"/>
    </row>
    <row r="198" spans="2:18" x14ac:dyDescent="0.25">
      <c r="B198" s="9"/>
      <c r="C198" s="1"/>
      <c r="D198" s="207"/>
      <c r="E198" s="7"/>
      <c r="F198" s="9"/>
      <c r="G198" s="7"/>
      <c r="H198" s="7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2:18" x14ac:dyDescent="0.25">
      <c r="B199" s="9"/>
      <c r="C199" s="1"/>
      <c r="D199" s="12"/>
      <c r="E199" s="2"/>
      <c r="F199" s="9"/>
      <c r="G199" s="2"/>
      <c r="H199" s="2"/>
      <c r="I199" s="9"/>
      <c r="J199" s="9"/>
      <c r="K199" s="9"/>
      <c r="L199" s="9"/>
      <c r="M199" s="9"/>
      <c r="N199" s="9"/>
      <c r="O199" s="9"/>
      <c r="P199" s="9"/>
      <c r="Q199" s="9"/>
      <c r="R199" s="9"/>
    </row>
    <row r="200" spans="2:18" x14ac:dyDescent="0.25">
      <c r="B200" s="9"/>
      <c r="C200" s="13"/>
      <c r="D200" s="12"/>
      <c r="E200" s="8"/>
      <c r="F200" s="9"/>
      <c r="G200" s="8"/>
      <c r="H200" s="8"/>
      <c r="I200" s="9"/>
      <c r="J200" s="9"/>
      <c r="K200" s="9"/>
      <c r="L200" s="9"/>
      <c r="M200" s="9"/>
      <c r="N200" s="9"/>
      <c r="O200" s="9"/>
      <c r="P200" s="9"/>
      <c r="Q200" s="9"/>
      <c r="R200" s="9"/>
    </row>
    <row r="201" spans="2:18" x14ac:dyDescent="0.25">
      <c r="B201" s="9"/>
      <c r="F201" s="9"/>
      <c r="I201" s="9"/>
      <c r="J201" s="9"/>
      <c r="K201" s="9"/>
      <c r="L201" s="9"/>
      <c r="M201" s="9"/>
      <c r="N201" s="9"/>
      <c r="O201" s="9"/>
      <c r="P201" s="9"/>
      <c r="Q201" s="9"/>
      <c r="R201" s="9"/>
    </row>
    <row r="202" spans="2:18" x14ac:dyDescent="0.25">
      <c r="B202" s="9"/>
      <c r="F202" s="9"/>
    </row>
    <row r="203" spans="2:18" x14ac:dyDescent="0.25">
      <c r="I203" s="9"/>
      <c r="J203" s="9"/>
      <c r="K203" s="9"/>
      <c r="L203" s="9"/>
      <c r="M203" s="9"/>
      <c r="N203" s="9"/>
      <c r="O203" s="9"/>
      <c r="P203" s="9"/>
      <c r="Q203" s="9"/>
      <c r="R203" s="9"/>
    </row>
    <row r="204" spans="2:18" x14ac:dyDescent="0.25">
      <c r="I204" s="9"/>
      <c r="J204" s="9"/>
      <c r="K204" s="9"/>
      <c r="L204" s="9"/>
      <c r="M204" s="9"/>
      <c r="N204" s="9"/>
      <c r="O204" s="9"/>
      <c r="P204" s="9"/>
      <c r="Q204" s="9"/>
      <c r="R204" s="9"/>
    </row>
    <row r="205" spans="2:18" x14ac:dyDescent="0.25"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2:18" x14ac:dyDescent="0.25">
      <c r="I206" s="9"/>
      <c r="J206" s="9"/>
      <c r="K206" s="9"/>
      <c r="L206" s="9"/>
      <c r="M206" s="9"/>
      <c r="N206" s="9"/>
      <c r="O206" s="9"/>
      <c r="P206" s="9"/>
      <c r="Q206" s="9"/>
      <c r="R206" s="9"/>
    </row>
    <row r="207" spans="2:18" x14ac:dyDescent="0.25">
      <c r="I207" s="9"/>
      <c r="J207" s="9"/>
      <c r="K207" s="9"/>
      <c r="L207" s="9"/>
      <c r="M207" s="9"/>
      <c r="N207" s="9"/>
      <c r="O207" s="9"/>
      <c r="P207" s="9"/>
      <c r="Q207" s="9"/>
      <c r="R207" s="9"/>
    </row>
    <row r="208" spans="2:18" x14ac:dyDescent="0.25">
      <c r="I208" s="9"/>
      <c r="J208" s="9"/>
      <c r="K208" s="9"/>
      <c r="L208" s="9"/>
      <c r="M208" s="9"/>
      <c r="N208" s="9"/>
      <c r="O208" s="9"/>
      <c r="P208" s="9"/>
      <c r="Q208" s="9"/>
      <c r="R208" s="9"/>
    </row>
    <row r="209" spans="9:18" x14ac:dyDescent="0.25">
      <c r="I209" s="9"/>
      <c r="J209" s="9"/>
      <c r="K209" s="9"/>
      <c r="L209" s="9"/>
      <c r="M209" s="9"/>
      <c r="N209" s="9"/>
      <c r="O209" s="9"/>
      <c r="P209" s="9"/>
      <c r="Q209" s="9"/>
      <c r="R209" s="9"/>
    </row>
    <row r="210" spans="9:18" x14ac:dyDescent="0.25">
      <c r="I210" s="9"/>
      <c r="J210" s="9"/>
      <c r="K210" s="9"/>
      <c r="L210" s="9"/>
      <c r="M210" s="9"/>
      <c r="N210" s="9"/>
      <c r="O210" s="9"/>
      <c r="P210" s="9"/>
      <c r="Q210" s="9"/>
      <c r="R210" s="9"/>
    </row>
    <row r="211" spans="9:18" x14ac:dyDescent="0.25">
      <c r="I211" s="9"/>
      <c r="J211" s="9"/>
      <c r="K211" s="9"/>
      <c r="L211" s="9"/>
      <c r="M211" s="9"/>
      <c r="N211" s="9"/>
      <c r="O211" s="9"/>
      <c r="P211" s="9"/>
      <c r="Q211" s="9"/>
      <c r="R211" s="9"/>
    </row>
    <row r="212" spans="9:18" x14ac:dyDescent="0.25">
      <c r="I212" s="9"/>
      <c r="J212" s="9"/>
      <c r="K212" s="9"/>
      <c r="L212" s="9"/>
      <c r="M212" s="9"/>
      <c r="N212" s="9"/>
      <c r="O212" s="9"/>
      <c r="P212" s="9"/>
      <c r="Q212" s="9"/>
      <c r="R212" s="9"/>
    </row>
    <row r="213" spans="9:18" x14ac:dyDescent="0.25">
      <c r="I213" s="9"/>
      <c r="J213" s="9"/>
      <c r="K213" s="9"/>
      <c r="L213" s="9"/>
      <c r="M213" s="9"/>
      <c r="N213" s="9"/>
      <c r="O213" s="9"/>
      <c r="P213" s="9"/>
      <c r="Q213" s="9"/>
      <c r="R213" s="9"/>
    </row>
  </sheetData>
  <sheetProtection formatCells="0" formatColumns="0" formatRows="0" insertColumns="0" insertRows="0" insertHyperlinks="0" deleteColumns="0" deleteRows="0" selectLockedCells="1" sort="0" autoFilter="0" pivotTables="0"/>
  <mergeCells count="19">
    <mergeCell ref="F3:H3"/>
    <mergeCell ref="C3:E3"/>
    <mergeCell ref="C5:E5"/>
    <mergeCell ref="B104:B112"/>
    <mergeCell ref="B114:B128"/>
    <mergeCell ref="C12:E12"/>
    <mergeCell ref="C32:E32"/>
    <mergeCell ref="B37:B48"/>
    <mergeCell ref="B51:B57"/>
    <mergeCell ref="B59:B63"/>
    <mergeCell ref="B65:B68"/>
    <mergeCell ref="B70:B80"/>
    <mergeCell ref="B82:B94"/>
    <mergeCell ref="B96:B102"/>
    <mergeCell ref="B130:B149"/>
    <mergeCell ref="B151:B156"/>
    <mergeCell ref="B158:B174"/>
    <mergeCell ref="B176:B189"/>
    <mergeCell ref="C192:D19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34087EC529F34597B764B2D0C7B30E" ma:contentTypeVersion="14" ma:contentTypeDescription="Create a new document." ma:contentTypeScope="" ma:versionID="a602776aa0f817cf71c4739ae5e32b70">
  <xsd:schema xmlns:xsd="http://www.w3.org/2001/XMLSchema" xmlns:xs="http://www.w3.org/2001/XMLSchema" xmlns:p="http://schemas.microsoft.com/office/2006/metadata/properties" xmlns:ns1="http://schemas.microsoft.com/sharepoint/v3" xmlns:ns3="04b734a2-6778-43f0-ba39-efb9c9f7dc83" xmlns:ns4="3008cbc9-a5c8-4c38-9eca-4f36bdb23671" targetNamespace="http://schemas.microsoft.com/office/2006/metadata/properties" ma:root="true" ma:fieldsID="befcdf5c5cc10d40ec1da6a3c6eabd7e" ns1:_="" ns3:_="" ns4:_="">
    <xsd:import namespace="http://schemas.microsoft.com/sharepoint/v3"/>
    <xsd:import namespace="04b734a2-6778-43f0-ba39-efb9c9f7dc83"/>
    <xsd:import namespace="3008cbc9-a5c8-4c38-9eca-4f36bdb2367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1:_ip_UnifiedCompliancePolicyProperties" minOccurs="0"/>
                <xsd:element ref="ns1:_ip_UnifiedCompliancePolicyUIAction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b734a2-6778-43f0-ba39-efb9c9f7dc8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08cbc9-a5c8-4c38-9eca-4f36bdb236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76CEB4B-C0AA-4B4C-B0A4-CE1C908611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4b734a2-6778-43f0-ba39-efb9c9f7dc83"/>
    <ds:schemaRef ds:uri="3008cbc9-a5c8-4c38-9eca-4f36bdb236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B49BB7-8072-4CF5-A8A0-710F67320CE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928709-360E-4D9C-90CF-A2E924EA506A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Guidelines</vt:lpstr>
      <vt:lpstr>GWSC PRO Economic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Janson, Arnie</dc:creator>
  <cp:lastModifiedBy>Minier Matar, Joel E</cp:lastModifiedBy>
  <cp:lastPrinted>2019-08-06T12:19:23Z</cp:lastPrinted>
  <dcterms:created xsi:type="dcterms:W3CDTF">2006-09-16T00:00:00Z</dcterms:created>
  <dcterms:modified xsi:type="dcterms:W3CDTF">2020-06-05T19:49:15Z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0x010100F934087EC529F34597B764B2D0C7B30E</vt:lpwstr>
  </property>
</Properties>
</file>